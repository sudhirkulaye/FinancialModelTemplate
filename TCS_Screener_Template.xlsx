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MyDocuments\03Business\05ResearchAndAnalysis\StockInvestments\QuarterResultsScreenerExcels\Template\"/>
    </mc:Choice>
  </mc:AlternateContent>
  <xr:revisionPtr revIDLastSave="0" documentId="13_ncr:1_{F9583A49-33BF-4ED7-B049-91DF5ECE82E3}" xr6:coauthVersionLast="47" xr6:coauthVersionMax="47" xr10:uidLastSave="{00000000-0000-0000-0000-000000000000}"/>
  <bookViews>
    <workbookView xWindow="-108" yWindow="-108" windowWidth="23256" windowHeight="12456" tabRatio="788" activeTab="1" xr2:uid="{00000000-000D-0000-FFFF-FFFF00000000}"/>
  </bookViews>
  <sheets>
    <sheet name="Cover" sheetId="20" r:id="rId1"/>
    <sheet name="Assumptions&amp;Scenario" sheetId="15" r:id="rId2"/>
    <sheet name="HistoricalData" sheetId="17" r:id="rId3"/>
    <sheet name="Model" sheetId="16" r:id="rId4"/>
    <sheet name="ModelBFSI" sheetId="18" r:id="rId5"/>
    <sheet name="Analysts&amp;Consensus" sheetId="19" r:id="rId6"/>
    <sheet name="Customization" sheetId="5" r:id="rId7"/>
    <sheet name="Data Sheet" sheetId="6" r:id="rId8"/>
  </sheets>
  <definedNames>
    <definedName name="_xlnm._FilterDatabase" localSheetId="5" hidden="1">'Analysts&amp;Consensus'!$C$57:$T$57</definedName>
    <definedName name="_xlnm.Print_Area" localSheetId="5">'Analysts&amp;Consensus'!$B$2:$U$51,'Analysts&amp;Consensus'!$B$53:$U$102</definedName>
    <definedName name="_xlnm.Print_Area" localSheetId="1">'Assumptions&amp;Scenario'!$B$2:$V$46,'Assumptions&amp;Scenario'!$B$48:$V$82,'Assumptions&amp;Scenario'!$B$84:$V$135,'Assumptions&amp;Scenario'!$B$137:$V$176,'Assumptions&amp;Scenario'!$B$178:$V$207</definedName>
    <definedName name="_xlnm.Print_Area" localSheetId="0">Cover!$A$1:$J$19</definedName>
    <definedName name="_xlnm.Print_Area" localSheetId="2">HistoricalData!$B$2:$V$42,HistoricalData!$B$44:$V$84,HistoricalData!$B$86:$V$126,HistoricalData!$B$128:$V$168,HistoricalData!$B$170:$V$215,HistoricalData!$B$217:$V$262,HistoricalData!$B$269:$V$313,HistoricalData!$B$315:$V$355,HistoricalData!$B$357:$V$398,HistoricalData!$B$400:$V$441,HistoricalData!$B$443:$V$481,HistoricalData!$B$483:$V$526,HistoricalData!$B$528:$V$572,HistoricalData!$B$574:$V$609,HistoricalData!$B$611:$V$654,HistoricalData!$B$656:$V$688</definedName>
    <definedName name="_xlnm.Print_Area" localSheetId="3">Model!$B$2:$V$25,Model!$B$27:$V$50,Model!$B$52:$V$76,Model!$B$78:$V$107,Model!$B$109:$V$137,Model!$B$139:$V$163,Model!$B$165:$V$207,Model!$B$209:$V$252,Model!$B$254:$V$295,Model!$B$297:$V$335,Model!$B$337:$V$380,Model!$B$382:$V$411,Model!$B$413:$V$435,Model!$B$437:$V$470,Model!$B$472:$V$519,Model!$B$521:$V$561,Model!$B$563:$V$610,Model!$B$612:$V$654</definedName>
    <definedName name="_xlnm.Print_Area" localSheetId="4">ModelBFSI!$B$2:$V$47,ModelBFSI!$B$49:$V$82,ModelBFSI!$B$84:$V$127,ModelBFSI!$B$129:$V$175,ModelBFSI!$B$177:$V$210,ModelBFSI!$B$212:$V$254,ModelBFSI!$B$256:$V$300,ModelBFSI!$B$302:$V$347,ModelBFSI!$B$349:$V$397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73" i="15" l="1"/>
  <c r="L132" i="15"/>
  <c r="U10" i="15"/>
  <c r="E10" i="20" s="1"/>
  <c r="AF11" i="19" l="1"/>
  <c r="AE11" i="19"/>
  <c r="AD11" i="19"/>
  <c r="AC11" i="19"/>
  <c r="AB11" i="19"/>
  <c r="AA11" i="19"/>
  <c r="J560" i="16"/>
  <c r="J557" i="16"/>
  <c r="J556" i="16"/>
  <c r="U2" i="18" l="1"/>
  <c r="U349" i="18" s="1"/>
  <c r="U2" i="16"/>
  <c r="U612" i="16" s="1"/>
  <c r="H171" i="15"/>
  <c r="U52" i="16" l="1"/>
  <c r="U382" i="16"/>
  <c r="U49" i="18"/>
  <c r="U337" i="16"/>
  <c r="U78" i="16"/>
  <c r="U109" i="16"/>
  <c r="U413" i="16"/>
  <c r="U84" i="18"/>
  <c r="U139" i="16"/>
  <c r="U437" i="16"/>
  <c r="U129" i="18"/>
  <c r="U165" i="16"/>
  <c r="U472" i="16"/>
  <c r="U177" i="18"/>
  <c r="U209" i="16"/>
  <c r="U521" i="16"/>
  <c r="U212" i="18"/>
  <c r="U254" i="16"/>
  <c r="U563" i="16"/>
  <c r="U256" i="18"/>
  <c r="U27" i="16"/>
  <c r="U297" i="16"/>
  <c r="U302" i="18"/>
  <c r="AB286" i="18"/>
  <c r="AB285" i="18"/>
  <c r="AB284" i="18"/>
  <c r="AA286" i="18"/>
  <c r="AA285" i="18"/>
  <c r="AA284" i="18"/>
  <c r="J100" i="16" l="1"/>
  <c r="J99" i="16"/>
  <c r="K100" i="16"/>
  <c r="K99" i="16"/>
  <c r="J94" i="16"/>
  <c r="J93" i="16"/>
  <c r="K94" i="16"/>
  <c r="K93" i="16"/>
  <c r="H351" i="17" l="1"/>
  <c r="H394" i="17" s="1"/>
  <c r="H352" i="17"/>
  <c r="H395" i="17" s="1"/>
  <c r="H40" i="18"/>
  <c r="H41" i="18" s="1"/>
  <c r="H39" i="18"/>
  <c r="H166" i="18" s="1"/>
  <c r="H10" i="18"/>
  <c r="H310" i="18" s="1"/>
  <c r="H203" i="16"/>
  <c r="H248" i="16" s="1"/>
  <c r="H202" i="16"/>
  <c r="H246" i="16" s="1"/>
  <c r="H446" i="16"/>
  <c r="H458" i="16" s="1"/>
  <c r="H118" i="16"/>
  <c r="H23" i="16"/>
  <c r="H595" i="16" s="1"/>
  <c r="H88" i="16"/>
  <c r="H664" i="17"/>
  <c r="H619" i="17"/>
  <c r="H608" i="17"/>
  <c r="H606" i="17"/>
  <c r="H604" i="17"/>
  <c r="H603" i="17"/>
  <c r="H602" i="17"/>
  <c r="H601" i="17"/>
  <c r="H600" i="17"/>
  <c r="H599" i="17"/>
  <c r="H596" i="17"/>
  <c r="H595" i="17"/>
  <c r="H594" i="17"/>
  <c r="H593" i="17"/>
  <c r="H592" i="17"/>
  <c r="H591" i="17"/>
  <c r="H588" i="17"/>
  <c r="H587" i="17"/>
  <c r="H536" i="17"/>
  <c r="H491" i="17"/>
  <c r="H451" i="17"/>
  <c r="H408" i="17"/>
  <c r="H392" i="17"/>
  <c r="H391" i="17"/>
  <c r="H367" i="17"/>
  <c r="H325" i="17"/>
  <c r="H235" i="17"/>
  <c r="H227" i="17"/>
  <c r="H245" i="17"/>
  <c r="H253" i="17"/>
  <c r="H260" i="17"/>
  <c r="H213" i="17"/>
  <c r="H97" i="17"/>
  <c r="H94" i="17"/>
  <c r="H40" i="17"/>
  <c r="H206" i="17"/>
  <c r="H198" i="17"/>
  <c r="H188" i="17"/>
  <c r="H180" i="17"/>
  <c r="H110" i="17"/>
  <c r="K350" i="17"/>
  <c r="J350" i="17"/>
  <c r="K392" i="17"/>
  <c r="J392" i="17"/>
  <c r="H608" i="16" l="1"/>
  <c r="H345" i="16"/>
  <c r="H453" i="16"/>
  <c r="H454" i="16"/>
  <c r="H455" i="16"/>
  <c r="H249" i="16"/>
  <c r="H456" i="16"/>
  <c r="H358" i="18"/>
  <c r="H463" i="16"/>
  <c r="H167" i="18"/>
  <c r="H294" i="18" s="1"/>
  <c r="H295" i="18" s="1"/>
  <c r="H574" i="16"/>
  <c r="H185" i="18"/>
  <c r="H170" i="18"/>
  <c r="H172" i="18"/>
  <c r="H293" i="18"/>
  <c r="H339" i="18"/>
  <c r="H398" i="16"/>
  <c r="H360" i="18"/>
  <c r="H48" i="16"/>
  <c r="H395" i="16"/>
  <c r="H465" i="16"/>
  <c r="H220" i="18"/>
  <c r="H410" i="16"/>
  <c r="H466" i="16"/>
  <c r="H264" i="18"/>
  <c r="H42" i="18"/>
  <c r="H250" i="16"/>
  <c r="H176" i="16"/>
  <c r="H423" i="16"/>
  <c r="H457" i="16"/>
  <c r="H467" i="16"/>
  <c r="H247" i="16"/>
  <c r="H57" i="18"/>
  <c r="H296" i="18"/>
  <c r="H345" i="18"/>
  <c r="H44" i="18"/>
  <c r="H393" i="17"/>
  <c r="H464" i="16"/>
  <c r="H220" i="16"/>
  <c r="H480" i="16"/>
  <c r="H576" i="16"/>
  <c r="H93" i="18"/>
  <c r="H343" i="18"/>
  <c r="H298" i="18"/>
  <c r="H204" i="16"/>
  <c r="H262" i="16"/>
  <c r="H449" i="16"/>
  <c r="H461" i="16"/>
  <c r="H529" i="16"/>
  <c r="H597" i="16"/>
  <c r="H137" i="18"/>
  <c r="H205" i="16"/>
  <c r="H382" i="18"/>
  <c r="H305" i="16"/>
  <c r="H450" i="16"/>
  <c r="H462" i="16"/>
  <c r="H572" i="16"/>
  <c r="H604" i="16"/>
  <c r="H340" i="18" l="1"/>
  <c r="H341" i="18" s="1"/>
  <c r="H342" i="18" s="1"/>
  <c r="H168" i="18"/>
  <c r="H169" i="18" s="1"/>
  <c r="H362" i="18"/>
  <c r="H384" i="18" s="1"/>
  <c r="H391" i="18" s="1"/>
  <c r="H395" i="18" s="1"/>
  <c r="AC23" i="15"/>
  <c r="U21" i="15" s="1"/>
  <c r="AC17" i="15"/>
  <c r="U16" i="15" s="1"/>
  <c r="L381" i="18"/>
  <c r="D199" i="15"/>
  <c r="D198" i="15"/>
  <c r="T37" i="18"/>
  <c r="S37" i="18"/>
  <c r="R37" i="18"/>
  <c r="Q37" i="18"/>
  <c r="P37" i="18"/>
  <c r="O37" i="18"/>
  <c r="N37" i="18"/>
  <c r="M37" i="18"/>
  <c r="L37" i="18"/>
  <c r="U37" i="18"/>
  <c r="J167" i="18"/>
  <c r="K167" i="18"/>
  <c r="T164" i="18"/>
  <c r="S164" i="18"/>
  <c r="R164" i="18"/>
  <c r="Q164" i="18"/>
  <c r="P164" i="18"/>
  <c r="O164" i="18"/>
  <c r="N164" i="18"/>
  <c r="M164" i="18"/>
  <c r="L164" i="18"/>
  <c r="U164" i="18"/>
  <c r="K170" i="18"/>
  <c r="K173" i="18" s="1"/>
  <c r="J170" i="18"/>
  <c r="J173" i="18" s="1"/>
  <c r="K41" i="18"/>
  <c r="K40" i="18"/>
  <c r="K39" i="18"/>
  <c r="J41" i="18"/>
  <c r="J40" i="18"/>
  <c r="J39" i="18"/>
  <c r="U358" i="18"/>
  <c r="T358" i="18"/>
  <c r="S358" i="18"/>
  <c r="R358" i="18"/>
  <c r="Q358" i="18"/>
  <c r="P358" i="18"/>
  <c r="O358" i="18"/>
  <c r="N358" i="18"/>
  <c r="M358" i="18"/>
  <c r="L358" i="18"/>
  <c r="K358" i="18"/>
  <c r="J358" i="18"/>
  <c r="K353" i="18"/>
  <c r="L353" i="18" s="1"/>
  <c r="M353" i="18" s="1"/>
  <c r="N353" i="18" s="1"/>
  <c r="O353" i="18" s="1"/>
  <c r="P353" i="18" s="1"/>
  <c r="Q353" i="18" s="1"/>
  <c r="R353" i="18" s="1"/>
  <c r="S353" i="18" s="1"/>
  <c r="T353" i="18" s="1"/>
  <c r="U353" i="18" s="1"/>
  <c r="D335" i="18"/>
  <c r="D334" i="18"/>
  <c r="D333" i="18"/>
  <c r="D332" i="18"/>
  <c r="D331" i="18"/>
  <c r="D330" i="18"/>
  <c r="D285" i="18"/>
  <c r="D286" i="18"/>
  <c r="D287" i="18"/>
  <c r="D288" i="18"/>
  <c r="D289" i="18"/>
  <c r="D284" i="18"/>
  <c r="M306" i="18"/>
  <c r="L306" i="18" s="1"/>
  <c r="K306" i="18" s="1"/>
  <c r="J306" i="18" s="1"/>
  <c r="K260" i="18"/>
  <c r="L260" i="18" s="1"/>
  <c r="U120" i="18"/>
  <c r="T120" i="18"/>
  <c r="S120" i="18"/>
  <c r="R120" i="18"/>
  <c r="Q120" i="18"/>
  <c r="P120" i="18"/>
  <c r="O120" i="18"/>
  <c r="N120" i="18"/>
  <c r="M120" i="18"/>
  <c r="L120" i="18"/>
  <c r="K120" i="18"/>
  <c r="U119" i="18"/>
  <c r="T119" i="18"/>
  <c r="S119" i="18"/>
  <c r="R119" i="18"/>
  <c r="Q119" i="18"/>
  <c r="P119" i="18"/>
  <c r="O119" i="18"/>
  <c r="N119" i="18"/>
  <c r="M119" i="18"/>
  <c r="L119" i="18"/>
  <c r="K119" i="18"/>
  <c r="U118" i="18"/>
  <c r="T118" i="18"/>
  <c r="S118" i="18"/>
  <c r="R118" i="18"/>
  <c r="Q118" i="18"/>
  <c r="P118" i="18"/>
  <c r="O118" i="18"/>
  <c r="N118" i="18"/>
  <c r="M118" i="18"/>
  <c r="L118" i="18"/>
  <c r="K118" i="18"/>
  <c r="U117" i="18"/>
  <c r="T117" i="18"/>
  <c r="S117" i="18"/>
  <c r="R117" i="18"/>
  <c r="Q117" i="18"/>
  <c r="P117" i="18"/>
  <c r="O117" i="18"/>
  <c r="N117" i="18"/>
  <c r="M117" i="18"/>
  <c r="L117" i="18"/>
  <c r="K117" i="18"/>
  <c r="U116" i="18"/>
  <c r="T116" i="18"/>
  <c r="S116" i="18"/>
  <c r="R116" i="18"/>
  <c r="Q116" i="18"/>
  <c r="P116" i="18"/>
  <c r="O116" i="18"/>
  <c r="N116" i="18"/>
  <c r="M116" i="18"/>
  <c r="L116" i="18"/>
  <c r="K116" i="18"/>
  <c r="U115" i="18"/>
  <c r="T115" i="18"/>
  <c r="S115" i="18"/>
  <c r="R115" i="18"/>
  <c r="Q115" i="18"/>
  <c r="P115" i="18"/>
  <c r="O115" i="18"/>
  <c r="N115" i="18"/>
  <c r="M115" i="18"/>
  <c r="L115" i="18"/>
  <c r="K115" i="18"/>
  <c r="U114" i="18"/>
  <c r="T114" i="18"/>
  <c r="S114" i="18"/>
  <c r="R114" i="18"/>
  <c r="Q114" i="18"/>
  <c r="P114" i="18"/>
  <c r="O114" i="18"/>
  <c r="N114" i="18"/>
  <c r="M114" i="18"/>
  <c r="L114" i="18"/>
  <c r="K114" i="18"/>
  <c r="U113" i="18"/>
  <c r="T113" i="18"/>
  <c r="S113" i="18"/>
  <c r="R113" i="18"/>
  <c r="Q113" i="18"/>
  <c r="P113" i="18"/>
  <c r="O113" i="18"/>
  <c r="N113" i="18"/>
  <c r="M113" i="18"/>
  <c r="L113" i="18"/>
  <c r="K113" i="18"/>
  <c r="U247" i="18"/>
  <c r="T247" i="18"/>
  <c r="S247" i="18"/>
  <c r="R247" i="18"/>
  <c r="Q247" i="18"/>
  <c r="P247" i="18"/>
  <c r="O247" i="18"/>
  <c r="N247" i="18"/>
  <c r="M247" i="18"/>
  <c r="L247" i="18"/>
  <c r="K247" i="18"/>
  <c r="U246" i="18"/>
  <c r="T246" i="18"/>
  <c r="S246" i="18"/>
  <c r="R246" i="18"/>
  <c r="Q246" i="18"/>
  <c r="P246" i="18"/>
  <c r="O246" i="18"/>
  <c r="N246" i="18"/>
  <c r="M246" i="18"/>
  <c r="L246" i="18"/>
  <c r="K246" i="18"/>
  <c r="U245" i="18"/>
  <c r="T245" i="18"/>
  <c r="S245" i="18"/>
  <c r="R245" i="18"/>
  <c r="Q245" i="18"/>
  <c r="P245" i="18"/>
  <c r="O245" i="18"/>
  <c r="N245" i="18"/>
  <c r="M245" i="18"/>
  <c r="L245" i="18"/>
  <c r="K245" i="18"/>
  <c r="U244" i="18"/>
  <c r="T244" i="18"/>
  <c r="S244" i="18"/>
  <c r="R244" i="18"/>
  <c r="Q244" i="18"/>
  <c r="P244" i="18"/>
  <c r="O244" i="18"/>
  <c r="N244" i="18"/>
  <c r="M244" i="18"/>
  <c r="L244" i="18"/>
  <c r="K244" i="18"/>
  <c r="U243" i="18"/>
  <c r="T243" i="18"/>
  <c r="S243" i="18"/>
  <c r="R243" i="18"/>
  <c r="Q243" i="18"/>
  <c r="P243" i="18"/>
  <c r="O243" i="18"/>
  <c r="N243" i="18"/>
  <c r="M243" i="18"/>
  <c r="L243" i="18"/>
  <c r="K243" i="18"/>
  <c r="U242" i="18"/>
  <c r="T242" i="18"/>
  <c r="S242" i="18"/>
  <c r="R242" i="18"/>
  <c r="Q242" i="18"/>
  <c r="P242" i="18"/>
  <c r="O242" i="18"/>
  <c r="N242" i="18"/>
  <c r="M242" i="18"/>
  <c r="L242" i="18"/>
  <c r="K242" i="18"/>
  <c r="U241" i="18"/>
  <c r="T241" i="18"/>
  <c r="S241" i="18"/>
  <c r="R241" i="18"/>
  <c r="Q241" i="18"/>
  <c r="P241" i="18"/>
  <c r="O241" i="18"/>
  <c r="N241" i="18"/>
  <c r="M241" i="18"/>
  <c r="L241" i="18"/>
  <c r="K241" i="18"/>
  <c r="U240" i="18"/>
  <c r="T240" i="18"/>
  <c r="S240" i="18"/>
  <c r="R240" i="18"/>
  <c r="Q240" i="18"/>
  <c r="P240" i="18"/>
  <c r="O240" i="18"/>
  <c r="N240" i="18"/>
  <c r="M240" i="18"/>
  <c r="L240" i="18"/>
  <c r="K240" i="18"/>
  <c r="J245" i="18"/>
  <c r="J117" i="18"/>
  <c r="J244" i="18"/>
  <c r="J243" i="18"/>
  <c r="J242" i="18"/>
  <c r="J247" i="18"/>
  <c r="J246" i="18"/>
  <c r="J241" i="18"/>
  <c r="J240" i="18"/>
  <c r="AH237" i="18"/>
  <c r="AG237" i="18"/>
  <c r="AF237" i="18"/>
  <c r="AE237" i="18"/>
  <c r="AD237" i="18"/>
  <c r="AC237" i="18"/>
  <c r="AB237" i="18"/>
  <c r="AA237" i="18"/>
  <c r="Z237" i="18"/>
  <c r="Y237" i="18"/>
  <c r="AH236" i="18"/>
  <c r="AG236" i="18"/>
  <c r="AF236" i="18"/>
  <c r="AE236" i="18"/>
  <c r="AD236" i="18"/>
  <c r="AC236" i="18"/>
  <c r="AB236" i="18"/>
  <c r="AA236" i="18"/>
  <c r="Z236" i="18"/>
  <c r="Y236" i="18"/>
  <c r="AH235" i="18"/>
  <c r="AG235" i="18"/>
  <c r="AF235" i="18"/>
  <c r="AE235" i="18"/>
  <c r="AD235" i="18"/>
  <c r="AC235" i="18"/>
  <c r="AB235" i="18"/>
  <c r="AA235" i="18"/>
  <c r="Z235" i="18"/>
  <c r="Y235" i="18"/>
  <c r="AH234" i="18"/>
  <c r="AG234" i="18"/>
  <c r="AF234" i="18"/>
  <c r="AE234" i="18"/>
  <c r="AD234" i="18"/>
  <c r="AC234" i="18"/>
  <c r="AB234" i="18"/>
  <c r="AA234" i="18"/>
  <c r="Z234" i="18"/>
  <c r="Y234" i="18"/>
  <c r="AH233" i="18"/>
  <c r="AG233" i="18"/>
  <c r="AF233" i="18"/>
  <c r="AE233" i="18"/>
  <c r="AD233" i="18"/>
  <c r="AC233" i="18"/>
  <c r="AB233" i="18"/>
  <c r="AA233" i="18"/>
  <c r="Z233" i="18"/>
  <c r="Y233" i="18"/>
  <c r="AH232" i="18"/>
  <c r="AG232" i="18"/>
  <c r="AF232" i="18"/>
  <c r="AE232" i="18"/>
  <c r="AD232" i="18"/>
  <c r="AC232" i="18"/>
  <c r="AB232" i="18"/>
  <c r="AA232" i="18"/>
  <c r="Z232" i="18"/>
  <c r="Y232" i="18"/>
  <c r="AH231" i="18"/>
  <c r="AG231" i="18"/>
  <c r="AF231" i="18"/>
  <c r="AE231" i="18"/>
  <c r="AD231" i="18"/>
  <c r="AC231" i="18"/>
  <c r="AB231" i="18"/>
  <c r="AA231" i="18"/>
  <c r="Z231" i="18"/>
  <c r="Y231" i="18"/>
  <c r="AH230" i="18"/>
  <c r="AG230" i="18"/>
  <c r="AF230" i="18"/>
  <c r="AE230" i="18"/>
  <c r="AD230" i="18"/>
  <c r="AC230" i="18"/>
  <c r="AB230" i="18"/>
  <c r="AA230" i="18"/>
  <c r="Z230" i="18"/>
  <c r="Y230" i="18"/>
  <c r="AH229" i="18"/>
  <c r="AG229" i="18"/>
  <c r="AF229" i="18"/>
  <c r="AE229" i="18"/>
  <c r="AD229" i="18"/>
  <c r="AC229" i="18"/>
  <c r="AB229" i="18"/>
  <c r="AA229" i="18"/>
  <c r="Z229" i="18"/>
  <c r="Y229" i="18"/>
  <c r="AH228" i="18"/>
  <c r="AG228" i="18"/>
  <c r="AF228" i="18"/>
  <c r="AE228" i="18"/>
  <c r="AD228" i="18"/>
  <c r="AC228" i="18"/>
  <c r="AB228" i="18"/>
  <c r="AA228" i="18"/>
  <c r="Z228" i="18"/>
  <c r="Y228" i="18"/>
  <c r="AH227" i="18"/>
  <c r="AG227" i="18"/>
  <c r="AF227" i="18"/>
  <c r="AE227" i="18"/>
  <c r="AD227" i="18"/>
  <c r="AC227" i="18"/>
  <c r="AB227" i="18"/>
  <c r="AA227" i="18"/>
  <c r="Z227" i="18"/>
  <c r="Y227" i="18"/>
  <c r="AH226" i="18"/>
  <c r="AG226" i="18"/>
  <c r="AF226" i="18"/>
  <c r="AE226" i="18"/>
  <c r="AD226" i="18"/>
  <c r="AC226" i="18"/>
  <c r="AB226" i="18"/>
  <c r="AA226" i="18"/>
  <c r="Z226" i="18"/>
  <c r="Y226" i="18"/>
  <c r="AH225" i="18"/>
  <c r="AG225" i="18"/>
  <c r="AF225" i="18"/>
  <c r="AE225" i="18"/>
  <c r="AD225" i="18"/>
  <c r="AC225" i="18"/>
  <c r="AB225" i="18"/>
  <c r="AA225" i="18"/>
  <c r="Z225" i="18"/>
  <c r="Y225" i="18"/>
  <c r="AH224" i="18"/>
  <c r="AG224" i="18"/>
  <c r="AF224" i="18"/>
  <c r="AE224" i="18"/>
  <c r="AD224" i="18"/>
  <c r="AC224" i="18"/>
  <c r="AB224" i="18"/>
  <c r="AA224" i="18"/>
  <c r="Z224" i="18"/>
  <c r="Y224" i="18"/>
  <c r="AH223" i="18"/>
  <c r="AG223" i="18"/>
  <c r="AF223" i="18"/>
  <c r="AE223" i="18"/>
  <c r="AD223" i="18"/>
  <c r="AC223" i="18"/>
  <c r="AB223" i="18"/>
  <c r="AA223" i="18"/>
  <c r="Z223" i="18"/>
  <c r="Y223" i="18"/>
  <c r="AH222" i="18"/>
  <c r="AG222" i="18"/>
  <c r="AF222" i="18"/>
  <c r="AE222" i="18"/>
  <c r="AD222" i="18"/>
  <c r="AC222" i="18"/>
  <c r="AB222" i="18"/>
  <c r="AA222" i="18"/>
  <c r="Z222" i="18"/>
  <c r="Y222" i="18"/>
  <c r="AH221" i="18"/>
  <c r="AG221" i="18"/>
  <c r="AF221" i="18"/>
  <c r="AE221" i="18"/>
  <c r="AD221" i="18"/>
  <c r="AC221" i="18"/>
  <c r="AB221" i="18"/>
  <c r="AA221" i="18"/>
  <c r="Z221" i="18"/>
  <c r="Y221" i="18"/>
  <c r="AH220" i="18"/>
  <c r="AG220" i="18"/>
  <c r="AF220" i="18"/>
  <c r="AE220" i="18"/>
  <c r="AD220" i="18"/>
  <c r="AC220" i="18"/>
  <c r="AB220" i="18"/>
  <c r="AA220" i="18"/>
  <c r="Z220" i="18"/>
  <c r="Y220" i="18"/>
  <c r="U253" i="18"/>
  <c r="T253" i="18"/>
  <c r="S253" i="18"/>
  <c r="R253" i="18"/>
  <c r="Q253" i="18"/>
  <c r="P253" i="18"/>
  <c r="O253" i="18"/>
  <c r="N253" i="18"/>
  <c r="M253" i="18"/>
  <c r="L253" i="18"/>
  <c r="K253" i="18"/>
  <c r="U252" i="18"/>
  <c r="T252" i="18"/>
  <c r="S252" i="18"/>
  <c r="R252" i="18"/>
  <c r="Q252" i="18"/>
  <c r="P252" i="18"/>
  <c r="O252" i="18"/>
  <c r="N252" i="18"/>
  <c r="M252" i="18"/>
  <c r="L252" i="18"/>
  <c r="K252" i="18"/>
  <c r="U251" i="18"/>
  <c r="T251" i="18"/>
  <c r="S251" i="18"/>
  <c r="R251" i="18"/>
  <c r="Q251" i="18"/>
  <c r="P251" i="18"/>
  <c r="O251" i="18"/>
  <c r="N251" i="18"/>
  <c r="M251" i="18"/>
  <c r="L251" i="18"/>
  <c r="K251" i="18"/>
  <c r="U250" i="18"/>
  <c r="T250" i="18"/>
  <c r="S250" i="18"/>
  <c r="R250" i="18"/>
  <c r="Q250" i="18"/>
  <c r="P250" i="18"/>
  <c r="O250" i="18"/>
  <c r="N250" i="18"/>
  <c r="M250" i="18"/>
  <c r="L250" i="18"/>
  <c r="K250" i="18"/>
  <c r="U216" i="18"/>
  <c r="T216" i="18" s="1"/>
  <c r="S216" i="18" s="1"/>
  <c r="R216" i="18" s="1"/>
  <c r="Q216" i="18" s="1"/>
  <c r="P216" i="18" s="1"/>
  <c r="O216" i="18" s="1"/>
  <c r="N216" i="18" s="1"/>
  <c r="M216" i="18" s="1"/>
  <c r="L216" i="18" s="1"/>
  <c r="K216" i="18" s="1"/>
  <c r="J216" i="18" s="1"/>
  <c r="Y192" i="18"/>
  <c r="T189" i="18"/>
  <c r="S189" i="18"/>
  <c r="R189" i="18"/>
  <c r="Q189" i="18"/>
  <c r="P189" i="18"/>
  <c r="O189" i="18"/>
  <c r="N189" i="18"/>
  <c r="M189" i="18"/>
  <c r="L189" i="18"/>
  <c r="K189" i="18"/>
  <c r="J189" i="18"/>
  <c r="U189" i="18"/>
  <c r="AH195" i="18"/>
  <c r="AG195" i="18"/>
  <c r="AF195" i="18"/>
  <c r="AE195" i="18"/>
  <c r="AD195" i="18"/>
  <c r="AC195" i="18"/>
  <c r="AB195" i="18"/>
  <c r="AA195" i="18"/>
  <c r="Z195" i="18"/>
  <c r="Y195" i="18"/>
  <c r="AH194" i="18"/>
  <c r="AG194" i="18"/>
  <c r="AF194" i="18"/>
  <c r="AE194" i="18"/>
  <c r="AD194" i="18"/>
  <c r="AC194" i="18"/>
  <c r="AB194" i="18"/>
  <c r="AA194" i="18"/>
  <c r="Z194" i="18"/>
  <c r="Y194" i="18"/>
  <c r="AH209" i="18"/>
  <c r="AG209" i="18"/>
  <c r="AF209" i="18"/>
  <c r="AE209" i="18"/>
  <c r="AD209" i="18"/>
  <c r="AC209" i="18"/>
  <c r="AB209" i="18"/>
  <c r="AA209" i="18"/>
  <c r="Z209" i="18"/>
  <c r="Y209" i="18"/>
  <c r="AH208" i="18"/>
  <c r="AG208" i="18"/>
  <c r="AF208" i="18"/>
  <c r="AE208" i="18"/>
  <c r="AD208" i="18"/>
  <c r="AC208" i="18"/>
  <c r="AB208" i="18"/>
  <c r="AA208" i="18"/>
  <c r="Z208" i="18"/>
  <c r="Y208" i="18"/>
  <c r="AH207" i="18"/>
  <c r="AG207" i="18"/>
  <c r="AF207" i="18"/>
  <c r="AE207" i="18"/>
  <c r="AD207" i="18"/>
  <c r="AC207" i="18"/>
  <c r="AB207" i="18"/>
  <c r="AA207" i="18"/>
  <c r="Z207" i="18"/>
  <c r="Y207" i="18"/>
  <c r="AH192" i="18"/>
  <c r="AG192" i="18"/>
  <c r="AF192" i="18"/>
  <c r="AE192" i="18"/>
  <c r="AD192" i="18"/>
  <c r="AC192" i="18"/>
  <c r="AB192" i="18"/>
  <c r="AA192" i="18"/>
  <c r="Z192" i="18"/>
  <c r="AH190" i="18"/>
  <c r="AG190" i="18"/>
  <c r="AF190" i="18"/>
  <c r="AE190" i="18"/>
  <c r="AD190" i="18"/>
  <c r="AC190" i="18"/>
  <c r="AB190" i="18"/>
  <c r="AA190" i="18"/>
  <c r="Z190" i="18"/>
  <c r="Y190" i="18"/>
  <c r="AH187" i="18"/>
  <c r="AG187" i="18"/>
  <c r="AF187" i="18"/>
  <c r="AE187" i="18"/>
  <c r="AD187" i="18"/>
  <c r="AC187" i="18"/>
  <c r="AB187" i="18"/>
  <c r="AB188" i="18" s="1"/>
  <c r="AA187" i="18"/>
  <c r="AA188" i="18" s="1"/>
  <c r="Z187" i="18"/>
  <c r="Z188" i="18" s="1"/>
  <c r="Y187" i="18"/>
  <c r="Y188" i="18" s="1"/>
  <c r="AH185" i="18"/>
  <c r="AG185" i="18"/>
  <c r="AF185" i="18"/>
  <c r="AE185" i="18"/>
  <c r="AD185" i="18"/>
  <c r="AC185" i="18"/>
  <c r="AB185" i="18"/>
  <c r="AB186" i="18" s="1"/>
  <c r="AA185" i="18"/>
  <c r="AA186" i="18" s="1"/>
  <c r="Z185" i="18"/>
  <c r="Z186" i="18" s="1"/>
  <c r="Y185" i="18"/>
  <c r="Y186" i="18" s="1"/>
  <c r="U188" i="18"/>
  <c r="T188" i="18"/>
  <c r="S188" i="18"/>
  <c r="R188" i="18"/>
  <c r="Q188" i="18"/>
  <c r="P188" i="18"/>
  <c r="O188" i="18"/>
  <c r="N188" i="18"/>
  <c r="M188" i="18"/>
  <c r="L188" i="18"/>
  <c r="K188" i="18"/>
  <c r="U186" i="18"/>
  <c r="T186" i="18"/>
  <c r="S186" i="18"/>
  <c r="R186" i="18"/>
  <c r="Q186" i="18"/>
  <c r="P186" i="18"/>
  <c r="O186" i="18"/>
  <c r="N186" i="18"/>
  <c r="M186" i="18"/>
  <c r="L186" i="18"/>
  <c r="K186" i="18"/>
  <c r="U181" i="18"/>
  <c r="T181" i="18" s="1"/>
  <c r="S181" i="18" s="1"/>
  <c r="R181" i="18" s="1"/>
  <c r="Q181" i="18" s="1"/>
  <c r="P181" i="18" s="1"/>
  <c r="O181" i="18" s="1"/>
  <c r="N181" i="18" s="1"/>
  <c r="M181" i="18" s="1"/>
  <c r="L181" i="18" s="1"/>
  <c r="K181" i="18" s="1"/>
  <c r="J181" i="18" s="1"/>
  <c r="D163" i="18"/>
  <c r="D162" i="18"/>
  <c r="D161" i="18"/>
  <c r="D160" i="18"/>
  <c r="D159" i="18"/>
  <c r="D158" i="18"/>
  <c r="D157" i="18"/>
  <c r="M260" i="18" l="1"/>
  <c r="Y284" i="18"/>
  <c r="K42" i="18"/>
  <c r="O359" i="18"/>
  <c r="Q359" i="18"/>
  <c r="J43" i="18"/>
  <c r="K43" i="18"/>
  <c r="J42" i="18"/>
  <c r="U359" i="18"/>
  <c r="N359" i="18"/>
  <c r="R359" i="18"/>
  <c r="S359" i="18"/>
  <c r="AH188" i="18"/>
  <c r="T359" i="18"/>
  <c r="M359" i="18"/>
  <c r="AF188" i="18"/>
  <c r="AH186" i="18"/>
  <c r="P359" i="18"/>
  <c r="AD186" i="18"/>
  <c r="L359" i="18"/>
  <c r="AC186" i="18"/>
  <c r="K359" i="18"/>
  <c r="K387" i="18"/>
  <c r="L387" i="18"/>
  <c r="AF186" i="18"/>
  <c r="AD188" i="18"/>
  <c r="M387" i="18"/>
  <c r="AG186" i="18"/>
  <c r="AE188" i="18"/>
  <c r="N387" i="18"/>
  <c r="AG188" i="18"/>
  <c r="J353" i="18"/>
  <c r="J387" i="18" s="1"/>
  <c r="AE186" i="18"/>
  <c r="AC188" i="18"/>
  <c r="N306" i="18"/>
  <c r="J260" i="18"/>
  <c r="AH164" i="18"/>
  <c r="AG164" i="18"/>
  <c r="AF164" i="18"/>
  <c r="AE164" i="18"/>
  <c r="AD164" i="18"/>
  <c r="AC164" i="18"/>
  <c r="AB164" i="18"/>
  <c r="AA164" i="18"/>
  <c r="Z164" i="18"/>
  <c r="Y164" i="18"/>
  <c r="AH162" i="18"/>
  <c r="AG162" i="18"/>
  <c r="AF162" i="18"/>
  <c r="AE162" i="18"/>
  <c r="AD162" i="18"/>
  <c r="AC162" i="18"/>
  <c r="AB162" i="18"/>
  <c r="AA162" i="18"/>
  <c r="Z162" i="18"/>
  <c r="Y162" i="18"/>
  <c r="AH161" i="18"/>
  <c r="AG161" i="18"/>
  <c r="AF161" i="18"/>
  <c r="AE161" i="18"/>
  <c r="AD161" i="18"/>
  <c r="AC161" i="18"/>
  <c r="AB161" i="18"/>
  <c r="AA161" i="18"/>
  <c r="Z161" i="18"/>
  <c r="Y161" i="18"/>
  <c r="AH160" i="18"/>
  <c r="AG160" i="18"/>
  <c r="AF160" i="18"/>
  <c r="AE160" i="18"/>
  <c r="AD160" i="18"/>
  <c r="AC160" i="18"/>
  <c r="AB160" i="18"/>
  <c r="AA160" i="18"/>
  <c r="Z160" i="18"/>
  <c r="Y160" i="18"/>
  <c r="AH159" i="18"/>
  <c r="AG159" i="18"/>
  <c r="AF159" i="18"/>
  <c r="AE159" i="18"/>
  <c r="AD159" i="18"/>
  <c r="AC159" i="18"/>
  <c r="AB159" i="18"/>
  <c r="AA159" i="18"/>
  <c r="Z159" i="18"/>
  <c r="Y159" i="18"/>
  <c r="AH158" i="18"/>
  <c r="AG158" i="18"/>
  <c r="AF158" i="18"/>
  <c r="AE158" i="18"/>
  <c r="AD158" i="18"/>
  <c r="AC158" i="18"/>
  <c r="AB158" i="18"/>
  <c r="AA158" i="18"/>
  <c r="Z158" i="18"/>
  <c r="Y158" i="18"/>
  <c r="AH157" i="18"/>
  <c r="AG157" i="18"/>
  <c r="AF157" i="18"/>
  <c r="AE157" i="18"/>
  <c r="AD157" i="18"/>
  <c r="AC157" i="18"/>
  <c r="AB157" i="18"/>
  <c r="AA157" i="18"/>
  <c r="Z157" i="18"/>
  <c r="Y157" i="18"/>
  <c r="AH154" i="18"/>
  <c r="AG154" i="18"/>
  <c r="AF154" i="18"/>
  <c r="AE154" i="18"/>
  <c r="AD154" i="18"/>
  <c r="AC154" i="18"/>
  <c r="AB154" i="18"/>
  <c r="AA154" i="18"/>
  <c r="Z154" i="18"/>
  <c r="Y154" i="18"/>
  <c r="AH149" i="18"/>
  <c r="AG149" i="18"/>
  <c r="AF149" i="18"/>
  <c r="AE149" i="18"/>
  <c r="AD149" i="18"/>
  <c r="AC149" i="18"/>
  <c r="AB149" i="18"/>
  <c r="AA149" i="18"/>
  <c r="Z149" i="18"/>
  <c r="Y149" i="18"/>
  <c r="AH147" i="18"/>
  <c r="AG147" i="18"/>
  <c r="AF147" i="18"/>
  <c r="AE147" i="18"/>
  <c r="AD147" i="18"/>
  <c r="AC147" i="18"/>
  <c r="AB147" i="18"/>
  <c r="AA147" i="18"/>
  <c r="Z147" i="18"/>
  <c r="Y147" i="18"/>
  <c r="AH145" i="18"/>
  <c r="AG145" i="18"/>
  <c r="AF145" i="18"/>
  <c r="AE145" i="18"/>
  <c r="AD145" i="18"/>
  <c r="AC145" i="18"/>
  <c r="AB145" i="18"/>
  <c r="AA145" i="18"/>
  <c r="Z145" i="18"/>
  <c r="Y145" i="18"/>
  <c r="AH144" i="18"/>
  <c r="AG144" i="18"/>
  <c r="AF144" i="18"/>
  <c r="AE144" i="18"/>
  <c r="AD144" i="18"/>
  <c r="AC144" i="18"/>
  <c r="AB144" i="18"/>
  <c r="AA144" i="18"/>
  <c r="Z144" i="18"/>
  <c r="Y144" i="18"/>
  <c r="AH142" i="18"/>
  <c r="AG142" i="18"/>
  <c r="AF142" i="18"/>
  <c r="AE142" i="18"/>
  <c r="AD142" i="18"/>
  <c r="AC142" i="18"/>
  <c r="AB142" i="18"/>
  <c r="AA142" i="18"/>
  <c r="Z142" i="18"/>
  <c r="Y142" i="18"/>
  <c r="AH139" i="18"/>
  <c r="AG139" i="18"/>
  <c r="AF139" i="18"/>
  <c r="AE139" i="18"/>
  <c r="AD139" i="18"/>
  <c r="AC139" i="18"/>
  <c r="AB139" i="18"/>
  <c r="AA139" i="18"/>
  <c r="Z139" i="18"/>
  <c r="Y139" i="18"/>
  <c r="AH138" i="18"/>
  <c r="AG138" i="18"/>
  <c r="AF138" i="18"/>
  <c r="AE138" i="18"/>
  <c r="AD138" i="18"/>
  <c r="AC138" i="18"/>
  <c r="AB138" i="18"/>
  <c r="AA138" i="18"/>
  <c r="Z138" i="18"/>
  <c r="Y138" i="18"/>
  <c r="AH137" i="18"/>
  <c r="AG137" i="18"/>
  <c r="AF137" i="18"/>
  <c r="AE137" i="18"/>
  <c r="AD137" i="18"/>
  <c r="AC137" i="18"/>
  <c r="AB137" i="18"/>
  <c r="AA137" i="18"/>
  <c r="Z137" i="18"/>
  <c r="Y137" i="18"/>
  <c r="U133" i="18"/>
  <c r="U126" i="18"/>
  <c r="T126" i="18"/>
  <c r="S126" i="18"/>
  <c r="R126" i="18"/>
  <c r="Q126" i="18"/>
  <c r="P126" i="18"/>
  <c r="O126" i="18"/>
  <c r="N126" i="18"/>
  <c r="M126" i="18"/>
  <c r="L126" i="18"/>
  <c r="K126" i="18"/>
  <c r="U125" i="18"/>
  <c r="T125" i="18"/>
  <c r="S125" i="18"/>
  <c r="R125" i="18"/>
  <c r="Q125" i="18"/>
  <c r="P125" i="18"/>
  <c r="O125" i="18"/>
  <c r="N125" i="18"/>
  <c r="M125" i="18"/>
  <c r="L125" i="18"/>
  <c r="K125" i="18"/>
  <c r="U124" i="18"/>
  <c r="T124" i="18"/>
  <c r="S124" i="18"/>
  <c r="R124" i="18"/>
  <c r="Q124" i="18"/>
  <c r="P124" i="18"/>
  <c r="O124" i="18"/>
  <c r="N124" i="18"/>
  <c r="M124" i="18"/>
  <c r="L124" i="18"/>
  <c r="K124" i="18"/>
  <c r="U123" i="18"/>
  <c r="T123" i="18"/>
  <c r="S123" i="18"/>
  <c r="R123" i="18"/>
  <c r="Q123" i="18"/>
  <c r="P123" i="18"/>
  <c r="O123" i="18"/>
  <c r="N123" i="18"/>
  <c r="M123" i="18"/>
  <c r="L123" i="18"/>
  <c r="K123" i="18"/>
  <c r="J113" i="18"/>
  <c r="J120" i="18"/>
  <c r="J119" i="18"/>
  <c r="J118" i="18"/>
  <c r="J116" i="18"/>
  <c r="J115" i="18"/>
  <c r="J114" i="18"/>
  <c r="N260" i="18" l="1"/>
  <c r="Y285" i="18"/>
  <c r="O306" i="18"/>
  <c r="T133" i="18"/>
  <c r="U88" i="18"/>
  <c r="T88" i="18" s="1"/>
  <c r="S88" i="18" s="1"/>
  <c r="R88" i="18" s="1"/>
  <c r="Q88" i="18" s="1"/>
  <c r="P88" i="18" s="1"/>
  <c r="O88" i="18" s="1"/>
  <c r="N88" i="18" s="1"/>
  <c r="M88" i="18" s="1"/>
  <c r="L88" i="18" s="1"/>
  <c r="K88" i="18" s="1"/>
  <c r="J88" i="18" s="1"/>
  <c r="U61" i="18"/>
  <c r="T61" i="18"/>
  <c r="S61" i="18"/>
  <c r="R61" i="18"/>
  <c r="Q61" i="18"/>
  <c r="P61" i="18"/>
  <c r="O61" i="18"/>
  <c r="N61" i="18"/>
  <c r="M61" i="18"/>
  <c r="L61" i="18"/>
  <c r="K61" i="18"/>
  <c r="J61" i="18"/>
  <c r="U53" i="18"/>
  <c r="T53" i="18" s="1"/>
  <c r="S53" i="18" s="1"/>
  <c r="R53" i="18" s="1"/>
  <c r="Q53" i="18" s="1"/>
  <c r="P53" i="18" s="1"/>
  <c r="O53" i="18" s="1"/>
  <c r="N53" i="18" s="1"/>
  <c r="M53" i="18" s="1"/>
  <c r="L53" i="18" s="1"/>
  <c r="K53" i="18" s="1"/>
  <c r="J53" i="18" s="1"/>
  <c r="U60" i="18"/>
  <c r="T60" i="18"/>
  <c r="S60" i="18"/>
  <c r="R60" i="18"/>
  <c r="Q60" i="18"/>
  <c r="P60" i="18"/>
  <c r="O60" i="18"/>
  <c r="N60" i="18"/>
  <c r="M60" i="18"/>
  <c r="L60" i="18"/>
  <c r="K60" i="18"/>
  <c r="U58" i="18"/>
  <c r="T58" i="18"/>
  <c r="S58" i="18"/>
  <c r="R58" i="18"/>
  <c r="Q58" i="18"/>
  <c r="P58" i="18"/>
  <c r="O58" i="18"/>
  <c r="N58" i="18"/>
  <c r="M58" i="18"/>
  <c r="L58" i="18"/>
  <c r="K58" i="18"/>
  <c r="O260" i="18" l="1"/>
  <c r="P260" i="18" s="1"/>
  <c r="Q260" i="18" s="1"/>
  <c r="R260" i="18" s="1"/>
  <c r="S260" i="18" s="1"/>
  <c r="T260" i="18" s="1"/>
  <c r="U260" i="18" s="1"/>
  <c r="Y286" i="18"/>
  <c r="P306" i="18"/>
  <c r="S133" i="18"/>
  <c r="U6" i="18"/>
  <c r="T6" i="18" s="1"/>
  <c r="S6" i="18" s="1"/>
  <c r="R6" i="18" s="1"/>
  <c r="Q6" i="18" s="1"/>
  <c r="P6" i="18" s="1"/>
  <c r="O6" i="18" s="1"/>
  <c r="N6" i="18" s="1"/>
  <c r="M6" i="18" s="1"/>
  <c r="L6" i="18" s="1"/>
  <c r="U132" i="17"/>
  <c r="T132" i="17" s="1"/>
  <c r="S132" i="17" s="1"/>
  <c r="R132" i="17" s="1"/>
  <c r="Q132" i="17" s="1"/>
  <c r="P132" i="17" s="1"/>
  <c r="O132" i="17" s="1"/>
  <c r="N132" i="17" s="1"/>
  <c r="M132" i="17" s="1"/>
  <c r="L132" i="17" s="1"/>
  <c r="K132" i="17" s="1"/>
  <c r="J132" i="17" s="1"/>
  <c r="U48" i="17"/>
  <c r="T48" i="17" s="1"/>
  <c r="S48" i="17" s="1"/>
  <c r="R48" i="17" s="1"/>
  <c r="Q48" i="17" s="1"/>
  <c r="P48" i="17" s="1"/>
  <c r="O48" i="17" s="1"/>
  <c r="N48" i="17" s="1"/>
  <c r="M48" i="17" s="1"/>
  <c r="L48" i="17" s="1"/>
  <c r="K48" i="17" s="1"/>
  <c r="J48" i="17" s="1"/>
  <c r="L620" i="16"/>
  <c r="K616" i="16"/>
  <c r="L616" i="16" s="1"/>
  <c r="M616" i="16" s="1"/>
  <c r="N616" i="16" s="1"/>
  <c r="O616" i="16" s="1"/>
  <c r="P616" i="16" s="1"/>
  <c r="Q616" i="16" s="1"/>
  <c r="R616" i="16" s="1"/>
  <c r="S616" i="16" s="1"/>
  <c r="T616" i="16" s="1"/>
  <c r="U616" i="16" s="1"/>
  <c r="Q306" i="18" l="1"/>
  <c r="K6" i="18"/>
  <c r="J6" i="18" s="1"/>
  <c r="R133" i="18"/>
  <c r="M620" i="16"/>
  <c r="J616" i="16"/>
  <c r="R306" i="18" l="1"/>
  <c r="Q133" i="18"/>
  <c r="S306" i="18" l="1"/>
  <c r="P133" i="18"/>
  <c r="T306" i="18" l="1"/>
  <c r="O133" i="18"/>
  <c r="U306" i="18" l="1"/>
  <c r="N133" i="18"/>
  <c r="M133" i="18" l="1"/>
  <c r="L133" i="18" l="1"/>
  <c r="K133" i="18" l="1"/>
  <c r="J133" i="18" s="1"/>
  <c r="U128" i="15" l="1"/>
  <c r="T128" i="15"/>
  <c r="S128" i="15"/>
  <c r="R128" i="15"/>
  <c r="Q128" i="15"/>
  <c r="P128" i="15"/>
  <c r="O128" i="15"/>
  <c r="N128" i="15"/>
  <c r="M128" i="15"/>
  <c r="L128" i="15"/>
  <c r="U127" i="15"/>
  <c r="U124" i="15" s="1" a="1"/>
  <c r="U124" i="15" s="1"/>
  <c r="T127" i="15"/>
  <c r="T124" i="15" s="1" a="1"/>
  <c r="T124" i="15" s="1"/>
  <c r="S127" i="15"/>
  <c r="R127" i="15"/>
  <c r="Q127" i="15"/>
  <c r="Q124" i="15" s="1" a="1"/>
  <c r="Q124" i="15" s="1"/>
  <c r="P127" i="15"/>
  <c r="P124" i="15" s="1" a="1"/>
  <c r="P124" i="15" s="1"/>
  <c r="O127" i="15"/>
  <c r="O124" i="15" s="1" a="1"/>
  <c r="O124" i="15" s="1"/>
  <c r="N127" i="15"/>
  <c r="N124" i="15" s="1" a="1"/>
  <c r="N124" i="15" s="1"/>
  <c r="M127" i="15"/>
  <c r="M124" i="15" s="1" a="1"/>
  <c r="M124" i="15" s="1"/>
  <c r="L127" i="15"/>
  <c r="L124" i="15" s="1" a="1"/>
  <c r="L124" i="15" s="1"/>
  <c r="S124" i="15" a="1"/>
  <c r="S124" i="15" s="1"/>
  <c r="R124" i="15" a="1"/>
  <c r="R124" i="15" s="1"/>
  <c r="D128" i="15"/>
  <c r="D127" i="15"/>
  <c r="M606" i="16"/>
  <c r="M605" i="16"/>
  <c r="N605" i="16" s="1"/>
  <c r="P605" i="16" s="1"/>
  <c r="L594" i="16"/>
  <c r="Q605" i="16" l="1"/>
  <c r="M607" i="16"/>
  <c r="N606" i="16"/>
  <c r="N607" i="16" l="1"/>
  <c r="P606" i="16"/>
  <c r="R605" i="16"/>
  <c r="S605" i="16" l="1"/>
  <c r="Q606" i="16"/>
  <c r="P607" i="16"/>
  <c r="T605" i="16" l="1"/>
  <c r="R606" i="16"/>
  <c r="Q607" i="16"/>
  <c r="U605" i="16" l="1"/>
  <c r="S606" i="16"/>
  <c r="R607" i="16"/>
  <c r="T606" i="16" l="1"/>
  <c r="S607" i="16"/>
  <c r="U606" i="16" l="1"/>
  <c r="U607" i="16" s="1"/>
  <c r="T607" i="16"/>
  <c r="K567" i="16" l="1"/>
  <c r="K440" i="17"/>
  <c r="J440" i="17"/>
  <c r="K194" i="16"/>
  <c r="K375" i="16"/>
  <c r="J375" i="16"/>
  <c r="K366" i="16"/>
  <c r="J366" i="16"/>
  <c r="K365" i="16"/>
  <c r="J365" i="16"/>
  <c r="K364" i="16"/>
  <c r="J364" i="16"/>
  <c r="K363" i="16"/>
  <c r="J363" i="16"/>
  <c r="J360" i="16"/>
  <c r="K357" i="16"/>
  <c r="J357" i="16"/>
  <c r="K356" i="16"/>
  <c r="J356" i="16"/>
  <c r="K355" i="16"/>
  <c r="J355" i="16"/>
  <c r="K354" i="16"/>
  <c r="J354" i="16"/>
  <c r="K353" i="16"/>
  <c r="J353" i="16"/>
  <c r="K351" i="16"/>
  <c r="J351" i="16"/>
  <c r="K350" i="16"/>
  <c r="J350" i="16"/>
  <c r="K349" i="16"/>
  <c r="J349" i="16"/>
  <c r="J348" i="16"/>
  <c r="K331" i="16"/>
  <c r="J331" i="16"/>
  <c r="K330" i="16"/>
  <c r="J330" i="16"/>
  <c r="K329" i="16"/>
  <c r="J329" i="16"/>
  <c r="K328" i="16"/>
  <c r="J328" i="16"/>
  <c r="K327" i="16"/>
  <c r="J327" i="16"/>
  <c r="K324" i="16"/>
  <c r="J324" i="16"/>
  <c r="K323" i="16"/>
  <c r="J323" i="16"/>
  <c r="J317" i="16"/>
  <c r="J315" i="16"/>
  <c r="J312" i="16"/>
  <c r="J311" i="16"/>
  <c r="J310" i="16"/>
  <c r="J309" i="16"/>
  <c r="K317" i="16"/>
  <c r="K315" i="16"/>
  <c r="K312" i="16"/>
  <c r="K311" i="16"/>
  <c r="K310" i="16"/>
  <c r="K309" i="16"/>
  <c r="L567" i="16" l="1"/>
  <c r="K600" i="16"/>
  <c r="J567" i="16"/>
  <c r="J600" i="16" s="1"/>
  <c r="M567" i="16" l="1"/>
  <c r="L600" i="16"/>
  <c r="U191" i="16"/>
  <c r="T191" i="16"/>
  <c r="S191" i="16"/>
  <c r="R191" i="16"/>
  <c r="Q191" i="16"/>
  <c r="P191" i="16"/>
  <c r="O191" i="16"/>
  <c r="N191" i="16"/>
  <c r="M191" i="16"/>
  <c r="L191" i="16"/>
  <c r="U533" i="16"/>
  <c r="T533" i="16"/>
  <c r="S533" i="16"/>
  <c r="R533" i="16"/>
  <c r="Q533" i="16"/>
  <c r="P533" i="16"/>
  <c r="O533" i="16"/>
  <c r="N533" i="16"/>
  <c r="M533" i="16"/>
  <c r="L533" i="16"/>
  <c r="U531" i="16"/>
  <c r="U286" i="16" s="1"/>
  <c r="T531" i="16"/>
  <c r="T499" i="16" s="1"/>
  <c r="S531" i="16"/>
  <c r="S499" i="16" s="1"/>
  <c r="R531" i="16"/>
  <c r="R286" i="16" s="1"/>
  <c r="Q531" i="16"/>
  <c r="Q286" i="16" s="1"/>
  <c r="P531" i="16"/>
  <c r="P286" i="16" s="1"/>
  <c r="O531" i="16"/>
  <c r="O286" i="16" s="1"/>
  <c r="N531" i="16"/>
  <c r="N286" i="16" s="1"/>
  <c r="M531" i="16"/>
  <c r="M286" i="16" s="1"/>
  <c r="L531" i="16"/>
  <c r="L499" i="16" s="1"/>
  <c r="K525" i="16"/>
  <c r="L525" i="16" s="1"/>
  <c r="M525" i="16" s="1"/>
  <c r="N525" i="16" s="1"/>
  <c r="O525" i="16" s="1"/>
  <c r="P525" i="16" s="1"/>
  <c r="Q525" i="16" s="1"/>
  <c r="R525" i="16" s="1"/>
  <c r="S525" i="16" s="1"/>
  <c r="T525" i="16" s="1"/>
  <c r="U525" i="16" s="1"/>
  <c r="U512" i="16"/>
  <c r="U497" i="16" s="1"/>
  <c r="T512" i="16"/>
  <c r="T497" i="16" s="1"/>
  <c r="S512" i="16"/>
  <c r="S497" i="16" s="1"/>
  <c r="R512" i="16"/>
  <c r="R497" i="16" s="1"/>
  <c r="Q512" i="16"/>
  <c r="Q497" i="16" s="1"/>
  <c r="P512" i="16"/>
  <c r="P497" i="16" s="1"/>
  <c r="O512" i="16"/>
  <c r="O497" i="16" s="1"/>
  <c r="N512" i="16"/>
  <c r="N497" i="16" s="1"/>
  <c r="M512" i="16"/>
  <c r="M497" i="16" s="1"/>
  <c r="L512" i="16"/>
  <c r="L497" i="16" s="1"/>
  <c r="U278" i="16"/>
  <c r="T278" i="16"/>
  <c r="S278" i="16"/>
  <c r="R278" i="16"/>
  <c r="Q278" i="16"/>
  <c r="P278" i="16"/>
  <c r="O278" i="16"/>
  <c r="N278" i="16"/>
  <c r="M278" i="16"/>
  <c r="L278" i="16"/>
  <c r="N567" i="16" l="1"/>
  <c r="M600" i="16"/>
  <c r="T286" i="16"/>
  <c r="U499" i="16"/>
  <c r="M499" i="16"/>
  <c r="M284" i="16"/>
  <c r="U284" i="16"/>
  <c r="L286" i="16"/>
  <c r="S286" i="16"/>
  <c r="N284" i="16"/>
  <c r="N499" i="16"/>
  <c r="O284" i="16"/>
  <c r="O499" i="16"/>
  <c r="P284" i="16"/>
  <c r="P499" i="16"/>
  <c r="Q284" i="16"/>
  <c r="Q499" i="16"/>
  <c r="R284" i="16"/>
  <c r="R499" i="16"/>
  <c r="S284" i="16"/>
  <c r="L284" i="16"/>
  <c r="T284" i="16"/>
  <c r="J525" i="16"/>
  <c r="K476" i="16"/>
  <c r="L476" i="16" s="1"/>
  <c r="M476" i="16" s="1"/>
  <c r="N476" i="16" s="1"/>
  <c r="O476" i="16" s="1"/>
  <c r="P476" i="16" s="1"/>
  <c r="Q476" i="16" s="1"/>
  <c r="R476" i="16" s="1"/>
  <c r="S476" i="16" s="1"/>
  <c r="T476" i="16" s="1"/>
  <c r="U476" i="16" s="1"/>
  <c r="K441" i="16"/>
  <c r="L441" i="16" s="1"/>
  <c r="M441" i="16" s="1"/>
  <c r="N441" i="16" s="1"/>
  <c r="O441" i="16" s="1"/>
  <c r="P441" i="16" s="1"/>
  <c r="Q441" i="16" s="1"/>
  <c r="R441" i="16" s="1"/>
  <c r="S441" i="16" s="1"/>
  <c r="T441" i="16" s="1"/>
  <c r="U441" i="16" s="1"/>
  <c r="U446" i="16" s="1"/>
  <c r="O567" i="16" l="1"/>
  <c r="P567" i="16" s="1"/>
  <c r="Q567" i="16" s="1"/>
  <c r="R567" i="16" s="1"/>
  <c r="S567" i="16" s="1"/>
  <c r="T567" i="16" s="1"/>
  <c r="U567" i="16" s="1"/>
  <c r="N600" i="16"/>
  <c r="J476" i="16"/>
  <c r="M446" i="16"/>
  <c r="N446" i="16"/>
  <c r="O446" i="16"/>
  <c r="P446" i="16"/>
  <c r="Q446" i="16"/>
  <c r="R446" i="16"/>
  <c r="S446" i="16"/>
  <c r="K446" i="16"/>
  <c r="L446" i="16"/>
  <c r="T446" i="16"/>
  <c r="J441" i="16"/>
  <c r="J446" i="16" s="1"/>
  <c r="K417" i="16" l="1"/>
  <c r="L417" i="16" s="1"/>
  <c r="M417" i="16" s="1"/>
  <c r="N417" i="16" s="1"/>
  <c r="O417" i="16" s="1"/>
  <c r="P417" i="16" s="1"/>
  <c r="Q417" i="16" s="1"/>
  <c r="R417" i="16" s="1"/>
  <c r="S417" i="16" s="1"/>
  <c r="T417" i="16" s="1"/>
  <c r="U417" i="16" s="1"/>
  <c r="K386" i="16"/>
  <c r="L386" i="16" s="1"/>
  <c r="M386" i="16" s="1"/>
  <c r="N386" i="16" s="1"/>
  <c r="O386" i="16" s="1"/>
  <c r="P386" i="16" s="1"/>
  <c r="Q386" i="16" s="1"/>
  <c r="R386" i="16" s="1"/>
  <c r="S386" i="16" s="1"/>
  <c r="T386" i="16" s="1"/>
  <c r="U386" i="16" s="1"/>
  <c r="K360" i="16"/>
  <c r="K465" i="16"/>
  <c r="J465" i="16"/>
  <c r="K348" i="16"/>
  <c r="D399" i="16" l="1" a="1"/>
  <c r="J417" i="16"/>
  <c r="J386" i="16"/>
  <c r="D399" i="16" l="1"/>
  <c r="K341" i="16" l="1"/>
  <c r="L341" i="16" s="1"/>
  <c r="M341" i="16" s="1"/>
  <c r="N341" i="16" s="1"/>
  <c r="O341" i="16" s="1"/>
  <c r="P341" i="16" s="1"/>
  <c r="Q341" i="16" s="1"/>
  <c r="R341" i="16" s="1"/>
  <c r="S341" i="16" s="1"/>
  <c r="T341" i="16" s="1"/>
  <c r="U341" i="16" s="1"/>
  <c r="L331" i="16"/>
  <c r="M331" i="16" s="1"/>
  <c r="N331" i="16" s="1"/>
  <c r="O331" i="16" s="1"/>
  <c r="P331" i="16" s="1"/>
  <c r="Q331" i="16" s="1"/>
  <c r="R331" i="16" s="1"/>
  <c r="S331" i="16" s="1"/>
  <c r="T331" i="16" s="1"/>
  <c r="U331" i="16" s="1"/>
  <c r="L330" i="16"/>
  <c r="M330" i="16" s="1"/>
  <c r="N330" i="16" s="1"/>
  <c r="O330" i="16" s="1"/>
  <c r="P330" i="16" s="1"/>
  <c r="Q330" i="16" s="1"/>
  <c r="R330" i="16" s="1"/>
  <c r="S330" i="16" s="1"/>
  <c r="T330" i="16" s="1"/>
  <c r="U330" i="16" s="1"/>
  <c r="L329" i="16"/>
  <c r="M329" i="16" s="1"/>
  <c r="N329" i="16" s="1"/>
  <c r="O329" i="16" s="1"/>
  <c r="P329" i="16" s="1"/>
  <c r="Q329" i="16" s="1"/>
  <c r="R329" i="16" s="1"/>
  <c r="S329" i="16" s="1"/>
  <c r="T329" i="16" s="1"/>
  <c r="U329" i="16" s="1"/>
  <c r="L328" i="16"/>
  <c r="K463" i="16"/>
  <c r="J463" i="16"/>
  <c r="L312" i="16"/>
  <c r="M312" i="16" s="1"/>
  <c r="N312" i="16" s="1"/>
  <c r="O312" i="16" s="1"/>
  <c r="P312" i="16" s="1"/>
  <c r="Q312" i="16" s="1"/>
  <c r="R312" i="16" s="1"/>
  <c r="S312" i="16" s="1"/>
  <c r="T312" i="16" s="1"/>
  <c r="U312" i="16" s="1"/>
  <c r="L311" i="16"/>
  <c r="M311" i="16" s="1"/>
  <c r="N311" i="16" s="1"/>
  <c r="O311" i="16" s="1"/>
  <c r="P311" i="16" s="1"/>
  <c r="Q311" i="16" s="1"/>
  <c r="R311" i="16" s="1"/>
  <c r="S311" i="16" s="1"/>
  <c r="T311" i="16" s="1"/>
  <c r="U311" i="16" s="1"/>
  <c r="L310" i="16"/>
  <c r="M310" i="16" s="1"/>
  <c r="N310" i="16" s="1"/>
  <c r="O310" i="16" s="1"/>
  <c r="P310" i="16" s="1"/>
  <c r="Q310" i="16" s="1"/>
  <c r="R310" i="16" s="1"/>
  <c r="S310" i="16" s="1"/>
  <c r="T310" i="16" s="1"/>
  <c r="U310" i="16" s="1"/>
  <c r="L309" i="16"/>
  <c r="M309" i="16" s="1"/>
  <c r="K301" i="16"/>
  <c r="L301" i="16" s="1"/>
  <c r="M301" i="16" s="1"/>
  <c r="N301" i="16" s="1"/>
  <c r="O301" i="16" s="1"/>
  <c r="P301" i="16" s="1"/>
  <c r="Q301" i="16" s="1"/>
  <c r="R301" i="16" s="1"/>
  <c r="S301" i="16" s="1"/>
  <c r="T301" i="16" s="1"/>
  <c r="U301" i="16" s="1"/>
  <c r="K293" i="16"/>
  <c r="J293" i="16"/>
  <c r="K286" i="16"/>
  <c r="J286" i="16"/>
  <c r="K285" i="16"/>
  <c r="J285" i="16"/>
  <c r="K284" i="16"/>
  <c r="J284" i="16"/>
  <c r="K278" i="16"/>
  <c r="J278" i="16"/>
  <c r="K277" i="16"/>
  <c r="J277" i="16"/>
  <c r="K276" i="16"/>
  <c r="J276" i="16"/>
  <c r="K270" i="16"/>
  <c r="J270" i="16"/>
  <c r="K268" i="16"/>
  <c r="J268" i="16"/>
  <c r="K267" i="16"/>
  <c r="J267" i="16"/>
  <c r="K266" i="16"/>
  <c r="J266" i="16"/>
  <c r="K265" i="16"/>
  <c r="J265" i="16"/>
  <c r="K264" i="16"/>
  <c r="J264" i="16"/>
  <c r="K263" i="16"/>
  <c r="J263" i="16"/>
  <c r="K258" i="16"/>
  <c r="L258" i="16" s="1"/>
  <c r="M258" i="16" s="1"/>
  <c r="N258" i="16" s="1"/>
  <c r="O258" i="16" s="1"/>
  <c r="P258" i="16" s="1"/>
  <c r="Q258" i="16" s="1"/>
  <c r="R258" i="16" s="1"/>
  <c r="S258" i="16" s="1"/>
  <c r="T258" i="16" s="1"/>
  <c r="U258" i="16" s="1"/>
  <c r="M238" i="16"/>
  <c r="L238" i="16"/>
  <c r="K238" i="16"/>
  <c r="J238" i="16"/>
  <c r="M235" i="16"/>
  <c r="L235" i="16"/>
  <c r="K235" i="16"/>
  <c r="J235" i="16"/>
  <c r="M213" i="16"/>
  <c r="L213" i="16" s="1"/>
  <c r="K213" i="16" s="1"/>
  <c r="J213" i="16" s="1"/>
  <c r="J194" i="16"/>
  <c r="J191" i="16"/>
  <c r="K169" i="16"/>
  <c r="J169" i="16" s="1"/>
  <c r="C87" i="16"/>
  <c r="C147" i="16" s="1"/>
  <c r="M143" i="16"/>
  <c r="N143" i="16" s="1"/>
  <c r="O143" i="16" s="1"/>
  <c r="P143" i="16" s="1"/>
  <c r="Q143" i="16" s="1"/>
  <c r="R143" i="16" s="1"/>
  <c r="S143" i="16" s="1"/>
  <c r="T143" i="16" s="1"/>
  <c r="U143" i="16" s="1"/>
  <c r="K113" i="16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K56" i="16"/>
  <c r="L56" i="16" s="1"/>
  <c r="M56" i="16" s="1"/>
  <c r="N56" i="16" s="1"/>
  <c r="O56" i="16" s="1"/>
  <c r="P56" i="16" s="1"/>
  <c r="Q56" i="16" s="1"/>
  <c r="R56" i="16" s="1"/>
  <c r="S56" i="16" s="1"/>
  <c r="T56" i="16" s="1"/>
  <c r="U56" i="16" s="1"/>
  <c r="D103" i="16"/>
  <c r="D133" i="16" s="1"/>
  <c r="D95" i="16"/>
  <c r="D125" i="16" s="1"/>
  <c r="AH240" i="17"/>
  <c r="AG240" i="17"/>
  <c r="AF240" i="17"/>
  <c r="AE240" i="17"/>
  <c r="AD240" i="17"/>
  <c r="AC240" i="17"/>
  <c r="AB240" i="17"/>
  <c r="AA240" i="17"/>
  <c r="Z240" i="17"/>
  <c r="Y240" i="17"/>
  <c r="AH239" i="17"/>
  <c r="AG239" i="17"/>
  <c r="AF239" i="17"/>
  <c r="AE239" i="17"/>
  <c r="AD239" i="17"/>
  <c r="AC239" i="17"/>
  <c r="AB239" i="17"/>
  <c r="AA239" i="17"/>
  <c r="Z239" i="17"/>
  <c r="Y239" i="17"/>
  <c r="AH238" i="17"/>
  <c r="AG238" i="17"/>
  <c r="AF238" i="17"/>
  <c r="AE238" i="17"/>
  <c r="AD238" i="17"/>
  <c r="AC238" i="17"/>
  <c r="AB238" i="17"/>
  <c r="AA238" i="17"/>
  <c r="Z238" i="17"/>
  <c r="Y238" i="17"/>
  <c r="AH237" i="17"/>
  <c r="AG237" i="17"/>
  <c r="AF237" i="17"/>
  <c r="AE237" i="17"/>
  <c r="AD237" i="17"/>
  <c r="AC237" i="17"/>
  <c r="AB237" i="17"/>
  <c r="AA237" i="17"/>
  <c r="Z237" i="17"/>
  <c r="Y237" i="17"/>
  <c r="AH236" i="17"/>
  <c r="AG236" i="17"/>
  <c r="AF236" i="17"/>
  <c r="AE236" i="17"/>
  <c r="AD236" i="17"/>
  <c r="AC236" i="17"/>
  <c r="AB236" i="17"/>
  <c r="AA236" i="17"/>
  <c r="Z236" i="17"/>
  <c r="Y236" i="17"/>
  <c r="AH235" i="17"/>
  <c r="AG235" i="17"/>
  <c r="AF235" i="17"/>
  <c r="AE235" i="17"/>
  <c r="AD235" i="17"/>
  <c r="AC235" i="17"/>
  <c r="AB235" i="17"/>
  <c r="AA235" i="17"/>
  <c r="Z235" i="17"/>
  <c r="Y235" i="17"/>
  <c r="Z228" i="17"/>
  <c r="AA228" i="17"/>
  <c r="AB228" i="17"/>
  <c r="AC228" i="17"/>
  <c r="AD228" i="17"/>
  <c r="AE228" i="17"/>
  <c r="AF228" i="17"/>
  <c r="AG228" i="17"/>
  <c r="AH228" i="17"/>
  <c r="Z229" i="17"/>
  <c r="AA229" i="17"/>
  <c r="AB229" i="17"/>
  <c r="AC229" i="17"/>
  <c r="AD229" i="17"/>
  <c r="AE229" i="17"/>
  <c r="AF229" i="17"/>
  <c r="AG229" i="17"/>
  <c r="AH229" i="17"/>
  <c r="Z230" i="17"/>
  <c r="AA230" i="17"/>
  <c r="AB230" i="17"/>
  <c r="AC230" i="17"/>
  <c r="AD230" i="17"/>
  <c r="AE230" i="17"/>
  <c r="AF230" i="17"/>
  <c r="AG230" i="17"/>
  <c r="AH230" i="17"/>
  <c r="Z231" i="17"/>
  <c r="AA231" i="17"/>
  <c r="AB231" i="17"/>
  <c r="AC231" i="17"/>
  <c r="AD231" i="17"/>
  <c r="AE231" i="17"/>
  <c r="AF231" i="17"/>
  <c r="AG231" i="17"/>
  <c r="AH231" i="17"/>
  <c r="Y229" i="17"/>
  <c r="Y230" i="17"/>
  <c r="Y231" i="17"/>
  <c r="Y228" i="17"/>
  <c r="D74" i="16"/>
  <c r="D73" i="16"/>
  <c r="D72" i="16"/>
  <c r="D100" i="16" s="1"/>
  <c r="D130" i="16" s="1"/>
  <c r="D71" i="16"/>
  <c r="D70" i="16"/>
  <c r="D66" i="16"/>
  <c r="D65" i="16"/>
  <c r="D64" i="16"/>
  <c r="D63" i="16"/>
  <c r="D62" i="16"/>
  <c r="H47" i="16"/>
  <c r="H46" i="16"/>
  <c r="M328" i="16" l="1"/>
  <c r="N328" i="16" s="1"/>
  <c r="O328" i="16" s="1"/>
  <c r="P328" i="16" s="1"/>
  <c r="Q328" i="16" s="1"/>
  <c r="R328" i="16" s="1"/>
  <c r="S328" i="16" s="1"/>
  <c r="T328" i="16" s="1"/>
  <c r="U328" i="16" s="1"/>
  <c r="L327" i="16"/>
  <c r="M327" i="16" s="1"/>
  <c r="J341" i="16"/>
  <c r="C173" i="16"/>
  <c r="M308" i="16"/>
  <c r="M486" i="16" s="1"/>
  <c r="N309" i="16"/>
  <c r="L308" i="16"/>
  <c r="L486" i="16" s="1"/>
  <c r="J301" i="16"/>
  <c r="J258" i="16"/>
  <c r="C217" i="16"/>
  <c r="N213" i="16"/>
  <c r="C117" i="16"/>
  <c r="L169" i="16"/>
  <c r="AA241" i="17"/>
  <c r="Y241" i="17"/>
  <c r="AG241" i="17"/>
  <c r="AF241" i="17"/>
  <c r="AD241" i="17"/>
  <c r="AB241" i="17"/>
  <c r="Z241" i="17"/>
  <c r="AH241" i="17"/>
  <c r="AE241" i="17"/>
  <c r="AC241" i="17"/>
  <c r="L143" i="16"/>
  <c r="K143" i="16" s="1"/>
  <c r="J143" i="16" s="1"/>
  <c r="J113" i="16"/>
  <c r="J56" i="16"/>
  <c r="D94" i="16"/>
  <c r="D124" i="16" s="1"/>
  <c r="D99" i="16"/>
  <c r="D129" i="16" s="1"/>
  <c r="D98" i="16"/>
  <c r="D128" i="16" s="1"/>
  <c r="D90" i="16"/>
  <c r="D120" i="16" s="1"/>
  <c r="D91" i="16"/>
  <c r="D121" i="16" s="1"/>
  <c r="D101" i="16"/>
  <c r="D131" i="16" s="1"/>
  <c r="D92" i="16"/>
  <c r="D122" i="16" s="1"/>
  <c r="D102" i="16"/>
  <c r="D132" i="16" s="1"/>
  <c r="D93" i="16"/>
  <c r="D123" i="16" s="1"/>
  <c r="K82" i="16"/>
  <c r="L82" i="16" s="1"/>
  <c r="M82" i="16" s="1"/>
  <c r="N82" i="16" s="1"/>
  <c r="O82" i="16" s="1"/>
  <c r="P82" i="16" s="1"/>
  <c r="Q82" i="16" s="1"/>
  <c r="R82" i="16" s="1"/>
  <c r="S82" i="16" s="1"/>
  <c r="T82" i="16" s="1"/>
  <c r="U82" i="16" s="1"/>
  <c r="M169" i="16" l="1"/>
  <c r="Y176" i="16"/>
  <c r="N235" i="16"/>
  <c r="N327" i="16"/>
  <c r="M326" i="16"/>
  <c r="L326" i="16"/>
  <c r="O213" i="16"/>
  <c r="N308" i="16"/>
  <c r="N486" i="16" s="1"/>
  <c r="O309" i="16"/>
  <c r="J82" i="16"/>
  <c r="N169" i="16" l="1"/>
  <c r="Y177" i="16"/>
  <c r="O235" i="16"/>
  <c r="N326" i="16"/>
  <c r="O327" i="16"/>
  <c r="P213" i="16"/>
  <c r="P600" i="16" s="1"/>
  <c r="O308" i="16"/>
  <c r="O486" i="16" s="1"/>
  <c r="P309" i="16"/>
  <c r="D175" i="15"/>
  <c r="D174" i="15"/>
  <c r="O173" i="15"/>
  <c r="D151" i="15"/>
  <c r="D150" i="15"/>
  <c r="D169" i="15"/>
  <c r="D168" i="15"/>
  <c r="D163" i="15"/>
  <c r="D162" i="15"/>
  <c r="M141" i="15"/>
  <c r="L134" i="15"/>
  <c r="L133" i="15"/>
  <c r="L130" i="15" s="1" a="1"/>
  <c r="L130" i="15" s="1"/>
  <c r="L22" i="16" s="1"/>
  <c r="D134" i="15"/>
  <c r="D133" i="15"/>
  <c r="O169" i="16" l="1"/>
  <c r="P169" i="16" s="1"/>
  <c r="Q169" i="16" s="1"/>
  <c r="R169" i="16" s="1"/>
  <c r="S169" i="16" s="1"/>
  <c r="T169" i="16" s="1"/>
  <c r="U169" i="16" s="1"/>
  <c r="Y178" i="16"/>
  <c r="P235" i="16"/>
  <c r="O326" i="16"/>
  <c r="P327" i="16"/>
  <c r="Q213" i="16"/>
  <c r="Q600" i="16" s="1"/>
  <c r="P308" i="16"/>
  <c r="P486" i="16" s="1"/>
  <c r="Q309" i="16"/>
  <c r="P173" i="15"/>
  <c r="N141" i="15"/>
  <c r="O141" i="15" s="1"/>
  <c r="P141" i="15" s="1"/>
  <c r="Q141" i="15" s="1"/>
  <c r="R141" i="15" s="1"/>
  <c r="S141" i="15" s="1"/>
  <c r="T141" i="15" s="1"/>
  <c r="U141" i="15" s="1"/>
  <c r="M132" i="15"/>
  <c r="Q235" i="16" l="1"/>
  <c r="Q327" i="16"/>
  <c r="P326" i="16"/>
  <c r="R213" i="16"/>
  <c r="R600" i="16" s="1"/>
  <c r="R309" i="16"/>
  <c r="Q308" i="16"/>
  <c r="Q486" i="16" s="1"/>
  <c r="Q173" i="15"/>
  <c r="M134" i="15"/>
  <c r="M133" i="15"/>
  <c r="M130" i="15" s="1" a="1"/>
  <c r="M130" i="15" s="1"/>
  <c r="M22" i="16" s="1"/>
  <c r="N132" i="15"/>
  <c r="R235" i="16" l="1"/>
  <c r="Q326" i="16"/>
  <c r="R327" i="16"/>
  <c r="S213" i="16"/>
  <c r="S600" i="16" s="1"/>
  <c r="S309" i="16"/>
  <c r="R308" i="16"/>
  <c r="R486" i="16" s="1"/>
  <c r="N130" i="15" a="1"/>
  <c r="N130" i="15" s="1"/>
  <c r="N22" i="16" s="1"/>
  <c r="N174" i="15"/>
  <c r="N171" i="15" s="1" a="1"/>
  <c r="N171" i="15" s="1"/>
  <c r="N47" i="16" s="1"/>
  <c r="N175" i="15"/>
  <c r="R173" i="15"/>
  <c r="N133" i="15"/>
  <c r="N134" i="15"/>
  <c r="O132" i="15"/>
  <c r="S235" i="16" l="1"/>
  <c r="S327" i="16"/>
  <c r="R326" i="16"/>
  <c r="T213" i="16"/>
  <c r="T309" i="16"/>
  <c r="S308" i="16"/>
  <c r="S486" i="16" s="1"/>
  <c r="O130" i="15" a="1"/>
  <c r="O130" i="15" s="1"/>
  <c r="O22" i="16" s="1"/>
  <c r="O175" i="15"/>
  <c r="O174" i="15"/>
  <c r="O171" i="15" s="1" a="1"/>
  <c r="O171" i="15" s="1"/>
  <c r="O47" i="16" s="1"/>
  <c r="S173" i="15"/>
  <c r="O134" i="15"/>
  <c r="O133" i="15"/>
  <c r="P132" i="15"/>
  <c r="T235" i="16" l="1"/>
  <c r="T600" i="16"/>
  <c r="T327" i="16"/>
  <c r="S326" i="16"/>
  <c r="U213" i="16"/>
  <c r="U309" i="16"/>
  <c r="U308" i="16" s="1"/>
  <c r="U486" i="16" s="1"/>
  <c r="T308" i="16"/>
  <c r="T486" i="16" s="1"/>
  <c r="P174" i="15"/>
  <c r="P171" i="15" s="1" a="1"/>
  <c r="P171" i="15" s="1"/>
  <c r="P47" i="16" s="1"/>
  <c r="P175" i="15"/>
  <c r="T173" i="15"/>
  <c r="P134" i="15"/>
  <c r="P133" i="15"/>
  <c r="P130" i="15" s="1" a="1"/>
  <c r="P130" i="15" s="1"/>
  <c r="P22" i="16" s="1"/>
  <c r="Q132" i="15"/>
  <c r="U235" i="16" l="1"/>
  <c r="U600" i="16"/>
  <c r="U327" i="16"/>
  <c r="U326" i="16" s="1"/>
  <c r="T326" i="16"/>
  <c r="Q175" i="15"/>
  <c r="Q174" i="15"/>
  <c r="Q171" i="15" s="1" a="1"/>
  <c r="Q171" i="15" s="1"/>
  <c r="Q47" i="16" s="1"/>
  <c r="U173" i="15"/>
  <c r="Q134" i="15"/>
  <c r="Q133" i="15"/>
  <c r="Q130" i="15" s="1" a="1"/>
  <c r="Q130" i="15" s="1"/>
  <c r="Q22" i="16" s="1"/>
  <c r="R132" i="15"/>
  <c r="R175" i="15" l="1"/>
  <c r="R174" i="15"/>
  <c r="R171" i="15" s="1" a="1"/>
  <c r="R171" i="15" s="1"/>
  <c r="R47" i="16" s="1"/>
  <c r="R134" i="15"/>
  <c r="R133" i="15"/>
  <c r="R130" i="15" s="1" a="1"/>
  <c r="R130" i="15" s="1"/>
  <c r="R22" i="16" s="1"/>
  <c r="S132" i="15"/>
  <c r="S175" i="15" l="1"/>
  <c r="S174" i="15"/>
  <c r="S171" i="15" s="1" a="1"/>
  <c r="S171" i="15" s="1"/>
  <c r="S47" i="16" s="1"/>
  <c r="S134" i="15"/>
  <c r="S133" i="15"/>
  <c r="S130" i="15" s="1" a="1"/>
  <c r="S130" i="15" s="1"/>
  <c r="S22" i="16" s="1"/>
  <c r="T132" i="15"/>
  <c r="T175" i="15" l="1"/>
  <c r="T174" i="15"/>
  <c r="T171" i="15" s="1" a="1"/>
  <c r="T171" i="15" s="1"/>
  <c r="T47" i="16" s="1"/>
  <c r="T134" i="15"/>
  <c r="T133" i="15"/>
  <c r="T130" i="15" s="1" a="1"/>
  <c r="T130" i="15" s="1"/>
  <c r="T22" i="16" s="1"/>
  <c r="U132" i="15"/>
  <c r="U175" i="15" l="1"/>
  <c r="U174" i="15"/>
  <c r="U171" i="15" s="1" a="1"/>
  <c r="U171" i="15" s="1"/>
  <c r="U47" i="16" s="1"/>
  <c r="U134" i="15"/>
  <c r="U133" i="15"/>
  <c r="U130" i="15" s="1" a="1"/>
  <c r="U130" i="15" s="1"/>
  <c r="U22" i="16" s="1"/>
  <c r="K6" i="16" l="1"/>
  <c r="J6" i="16" s="1"/>
  <c r="H10" i="16"/>
  <c r="H13" i="16"/>
  <c r="H38" i="16" s="1"/>
  <c r="H17" i="16"/>
  <c r="H42" i="16" s="1"/>
  <c r="M31" i="16"/>
  <c r="N31" i="16" s="1"/>
  <c r="K10" i="15"/>
  <c r="E9" i="20" s="1"/>
  <c r="K395" i="17"/>
  <c r="J395" i="17"/>
  <c r="D205" i="15"/>
  <c r="D204" i="15"/>
  <c r="D192" i="15"/>
  <c r="D191" i="15"/>
  <c r="D122" i="15"/>
  <c r="D121" i="15"/>
  <c r="D116" i="15"/>
  <c r="D115" i="15"/>
  <c r="D110" i="15"/>
  <c r="D109" i="15"/>
  <c r="D98" i="15"/>
  <c r="D97" i="15"/>
  <c r="B54" i="19" l="1"/>
  <c r="B3" i="19"/>
  <c r="O31" i="16"/>
  <c r="P31" i="16" s="1"/>
  <c r="Q31" i="16" s="1"/>
  <c r="R31" i="16" s="1"/>
  <c r="S31" i="16" s="1"/>
  <c r="T31" i="16" s="1"/>
  <c r="U31" i="16" s="1"/>
  <c r="Y216" i="18"/>
  <c r="Z216" i="18" s="1"/>
  <c r="AA216" i="18" s="1"/>
  <c r="AB216" i="18" s="1"/>
  <c r="AC216" i="18" s="1"/>
  <c r="AD216" i="18" s="1"/>
  <c r="AE216" i="18" s="1"/>
  <c r="AF216" i="18" s="1"/>
  <c r="AG216" i="18" s="1"/>
  <c r="AH216" i="18" s="1"/>
  <c r="Y181" i="18"/>
  <c r="Z181" i="18" s="1"/>
  <c r="AA181" i="18" s="1"/>
  <c r="AB181" i="18" s="1"/>
  <c r="AC181" i="18" s="1"/>
  <c r="AD181" i="18" s="1"/>
  <c r="AE181" i="18" s="1"/>
  <c r="AF181" i="18" s="1"/>
  <c r="AG181" i="18" s="1"/>
  <c r="AH181" i="18" s="1"/>
  <c r="Y133" i="18"/>
  <c r="Z133" i="18" s="1"/>
  <c r="AA133" i="18" s="1"/>
  <c r="AB133" i="18" s="1"/>
  <c r="AC133" i="18" s="1"/>
  <c r="AD133" i="18" s="1"/>
  <c r="AE133" i="18" s="1"/>
  <c r="AF133" i="18" s="1"/>
  <c r="AG133" i="18" s="1"/>
  <c r="AH133" i="18" s="1"/>
  <c r="Y132" i="17"/>
  <c r="Z132" i="17" s="1"/>
  <c r="AA132" i="17" s="1"/>
  <c r="AB132" i="17" s="1"/>
  <c r="AC132" i="17" s="1"/>
  <c r="AD132" i="17" s="1"/>
  <c r="AE132" i="17" s="1"/>
  <c r="AF132" i="17" s="1"/>
  <c r="AG132" i="17" s="1"/>
  <c r="AH132" i="17" s="1"/>
  <c r="B564" i="16"/>
  <c r="B178" i="18"/>
  <c r="B257" i="18"/>
  <c r="B350" i="18"/>
  <c r="B213" i="18"/>
  <c r="B303" i="18"/>
  <c r="B130" i="18"/>
  <c r="B50" i="18"/>
  <c r="B85" i="18"/>
  <c r="B45" i="17"/>
  <c r="B613" i="16"/>
  <c r="B129" i="17"/>
  <c r="B3" i="18"/>
  <c r="B522" i="16"/>
  <c r="B473" i="16"/>
  <c r="B438" i="16"/>
  <c r="B383" i="16"/>
  <c r="B414" i="16"/>
  <c r="B298" i="16"/>
  <c r="B255" i="16"/>
  <c r="B338" i="16"/>
  <c r="B166" i="16"/>
  <c r="B210" i="16"/>
  <c r="H173" i="16"/>
  <c r="H217" i="16"/>
  <c r="B140" i="16"/>
  <c r="B110" i="16"/>
  <c r="H87" i="16"/>
  <c r="H147" i="16"/>
  <c r="B53" i="16"/>
  <c r="B79" i="16"/>
  <c r="H117" i="16"/>
  <c r="H35" i="16"/>
  <c r="B657" i="17"/>
  <c r="B138" i="15"/>
  <c r="B3" i="16"/>
  <c r="B28" i="16"/>
  <c r="B179" i="15"/>
  <c r="L6" i="16"/>
  <c r="L31" i="16"/>
  <c r="K31" i="16" s="1"/>
  <c r="J31" i="16" s="1"/>
  <c r="B85" i="15"/>
  <c r="B358" i="17"/>
  <c r="B3" i="15"/>
  <c r="B49" i="15"/>
  <c r="B401" i="17"/>
  <c r="B3" i="17"/>
  <c r="B444" i="17"/>
  <c r="B87" i="17"/>
  <c r="B484" i="17"/>
  <c r="B171" i="17"/>
  <c r="B529" i="17"/>
  <c r="B218" i="17"/>
  <c r="B575" i="17"/>
  <c r="B270" i="17"/>
  <c r="B612" i="17"/>
  <c r="B316" i="17"/>
  <c r="D193" i="17"/>
  <c r="D192" i="17"/>
  <c r="D191" i="17"/>
  <c r="D190" i="17"/>
  <c r="D189" i="17"/>
  <c r="D185" i="17"/>
  <c r="D184" i="17"/>
  <c r="D183" i="17"/>
  <c r="D182" i="17"/>
  <c r="D181" i="17"/>
  <c r="K88" i="15"/>
  <c r="L88" i="15" s="1"/>
  <c r="M88" i="15" s="1"/>
  <c r="N88" i="15" s="1"/>
  <c r="O88" i="15" s="1"/>
  <c r="P88" i="15" s="1"/>
  <c r="Q88" i="15" s="1"/>
  <c r="R88" i="15" s="1"/>
  <c r="S88" i="15" s="1"/>
  <c r="T88" i="15" s="1"/>
  <c r="U88" i="15" s="1"/>
  <c r="AC19" i="15"/>
  <c r="AC21" i="15" s="1"/>
  <c r="U18" i="15" s="1"/>
  <c r="L197" i="15" s="1"/>
  <c r="K670" i="17"/>
  <c r="J670" i="17"/>
  <c r="K669" i="17"/>
  <c r="J669" i="17"/>
  <c r="K668" i="17"/>
  <c r="J668" i="17"/>
  <c r="K667" i="17"/>
  <c r="J667" i="17"/>
  <c r="U660" i="17"/>
  <c r="T660" i="17" s="1"/>
  <c r="S660" i="17" s="1"/>
  <c r="R660" i="17" s="1"/>
  <c r="Q660" i="17" s="1"/>
  <c r="P660" i="17" s="1"/>
  <c r="O660" i="17" s="1"/>
  <c r="N660" i="17" s="1"/>
  <c r="M660" i="17" s="1"/>
  <c r="L660" i="17" s="1"/>
  <c r="K660" i="17" s="1"/>
  <c r="J660" i="17" s="1"/>
  <c r="K650" i="17"/>
  <c r="J650" i="17"/>
  <c r="U651" i="17"/>
  <c r="T651" i="17"/>
  <c r="S651" i="17"/>
  <c r="R651" i="17"/>
  <c r="Q651" i="17"/>
  <c r="P651" i="17"/>
  <c r="O651" i="17"/>
  <c r="N651" i="17"/>
  <c r="M651" i="17"/>
  <c r="L651" i="17"/>
  <c r="K651" i="17"/>
  <c r="J651" i="17"/>
  <c r="K633" i="17"/>
  <c r="J633" i="17"/>
  <c r="K625" i="17"/>
  <c r="J625" i="17"/>
  <c r="K623" i="17"/>
  <c r="J623" i="17"/>
  <c r="K621" i="17"/>
  <c r="J621" i="17"/>
  <c r="J629" i="17" s="1"/>
  <c r="U615" i="17"/>
  <c r="T615" i="17" s="1"/>
  <c r="S615" i="17" s="1"/>
  <c r="R615" i="17" s="1"/>
  <c r="Q615" i="17" s="1"/>
  <c r="P615" i="17" s="1"/>
  <c r="O615" i="17" s="1"/>
  <c r="N615" i="17" s="1"/>
  <c r="M615" i="17" s="1"/>
  <c r="L615" i="17" s="1"/>
  <c r="K615" i="17" s="1"/>
  <c r="J615" i="17" s="1"/>
  <c r="U595" i="17"/>
  <c r="T595" i="17"/>
  <c r="S595" i="17"/>
  <c r="R595" i="17"/>
  <c r="Q595" i="17"/>
  <c r="P595" i="17"/>
  <c r="O595" i="17"/>
  <c r="N595" i="17"/>
  <c r="M595" i="17"/>
  <c r="L595" i="17"/>
  <c r="K595" i="17"/>
  <c r="J595" i="17"/>
  <c r="U593" i="17"/>
  <c r="T593" i="17"/>
  <c r="S593" i="17"/>
  <c r="R593" i="17"/>
  <c r="Q593" i="17"/>
  <c r="P593" i="17"/>
  <c r="O593" i="17"/>
  <c r="N593" i="17"/>
  <c r="M593" i="17"/>
  <c r="L593" i="17"/>
  <c r="K593" i="17"/>
  <c r="J593" i="17"/>
  <c r="K592" i="17"/>
  <c r="J592" i="17"/>
  <c r="K591" i="17"/>
  <c r="J591" i="17"/>
  <c r="U578" i="17"/>
  <c r="V570" i="17"/>
  <c r="T568" i="17"/>
  <c r="S568" i="17"/>
  <c r="R568" i="17"/>
  <c r="Q568" i="17"/>
  <c r="P568" i="17"/>
  <c r="O568" i="17"/>
  <c r="N568" i="17"/>
  <c r="M568" i="17"/>
  <c r="L568" i="17"/>
  <c r="K568" i="17"/>
  <c r="U568" i="17"/>
  <c r="V571" i="17"/>
  <c r="V568" i="17"/>
  <c r="K549" i="17"/>
  <c r="J549" i="17"/>
  <c r="K548" i="17"/>
  <c r="J548" i="17"/>
  <c r="K547" i="17"/>
  <c r="J547" i="17"/>
  <c r="I544" i="17"/>
  <c r="K539" i="17"/>
  <c r="J539" i="17"/>
  <c r="K538" i="17"/>
  <c r="J538" i="17"/>
  <c r="U532" i="17"/>
  <c r="T532" i="17" s="1"/>
  <c r="S532" i="17" s="1"/>
  <c r="R532" i="17" s="1"/>
  <c r="Q532" i="17" s="1"/>
  <c r="P532" i="17" s="1"/>
  <c r="O532" i="17" s="1"/>
  <c r="N532" i="17" s="1"/>
  <c r="M532" i="17" s="1"/>
  <c r="L532" i="17" s="1"/>
  <c r="K532" i="17" s="1"/>
  <c r="J532" i="17" s="1"/>
  <c r="U487" i="17"/>
  <c r="T487" i="17" s="1"/>
  <c r="S487" i="17" s="1"/>
  <c r="R487" i="17" s="1"/>
  <c r="Q487" i="17" s="1"/>
  <c r="P487" i="17" s="1"/>
  <c r="O487" i="17" s="1"/>
  <c r="N487" i="17" s="1"/>
  <c r="M487" i="17" s="1"/>
  <c r="L487" i="17" s="1"/>
  <c r="K487" i="17" s="1"/>
  <c r="J487" i="17" s="1"/>
  <c r="U273" i="17"/>
  <c r="T273" i="17" s="1"/>
  <c r="S273" i="17" s="1"/>
  <c r="R273" i="17" s="1"/>
  <c r="Q273" i="17" s="1"/>
  <c r="P273" i="17" s="1"/>
  <c r="O273" i="17" s="1"/>
  <c r="N273" i="17" s="1"/>
  <c r="M273" i="17" s="1"/>
  <c r="L273" i="17" s="1"/>
  <c r="K273" i="17" s="1"/>
  <c r="J273" i="17" s="1"/>
  <c r="K519" i="17"/>
  <c r="K522" i="17" s="1"/>
  <c r="K44" i="18" s="1"/>
  <c r="K45" i="18" s="1"/>
  <c r="J519" i="17"/>
  <c r="J522" i="17" s="1"/>
  <c r="J44" i="18" s="1"/>
  <c r="J45" i="18" s="1"/>
  <c r="T513" i="17"/>
  <c r="J367" i="16" s="1"/>
  <c r="S513" i="17"/>
  <c r="R513" i="17"/>
  <c r="Q513" i="17"/>
  <c r="P513" i="17"/>
  <c r="O513" i="17"/>
  <c r="N513" i="17"/>
  <c r="M513" i="17"/>
  <c r="L513" i="17"/>
  <c r="U513" i="17"/>
  <c r="K367" i="16" s="1"/>
  <c r="U508" i="17"/>
  <c r="K362" i="16" s="1"/>
  <c r="T508" i="17"/>
  <c r="S508" i="17"/>
  <c r="R508" i="17"/>
  <c r="Q508" i="17"/>
  <c r="P508" i="17"/>
  <c r="O508" i="17"/>
  <c r="N508" i="17"/>
  <c r="M508" i="17"/>
  <c r="L508" i="17"/>
  <c r="T520" i="17"/>
  <c r="J374" i="16" s="1"/>
  <c r="S520" i="17"/>
  <c r="S519" i="17" s="1"/>
  <c r="R520" i="17"/>
  <c r="R519" i="17" s="1"/>
  <c r="Q520" i="17"/>
  <c r="Q519" i="17" s="1"/>
  <c r="P520" i="17"/>
  <c r="P519" i="17" s="1"/>
  <c r="O520" i="17"/>
  <c r="O519" i="17" s="1"/>
  <c r="N520" i="17"/>
  <c r="N519" i="17" s="1"/>
  <c r="M520" i="17"/>
  <c r="M519" i="17" s="1"/>
  <c r="L520" i="17"/>
  <c r="L519" i="17" s="1"/>
  <c r="U520" i="17"/>
  <c r="K374" i="16" s="1"/>
  <c r="U518" i="17"/>
  <c r="T518" i="17"/>
  <c r="J372" i="16" s="1"/>
  <c r="S518" i="17"/>
  <c r="R518" i="17"/>
  <c r="Q518" i="17"/>
  <c r="P518" i="17"/>
  <c r="O518" i="17"/>
  <c r="N518" i="17"/>
  <c r="M518" i="17"/>
  <c r="L518" i="17"/>
  <c r="S472" i="17"/>
  <c r="Q472" i="17"/>
  <c r="N472" i="17"/>
  <c r="U472" i="17"/>
  <c r="K326" i="16" s="1"/>
  <c r="U471" i="17"/>
  <c r="K325" i="16" s="1"/>
  <c r="T471" i="17"/>
  <c r="J325" i="16" s="1"/>
  <c r="S471" i="17"/>
  <c r="S625" i="17" s="1"/>
  <c r="R471" i="17"/>
  <c r="R625" i="17" s="1"/>
  <c r="Q471" i="17"/>
  <c r="Q625" i="17" s="1"/>
  <c r="P471" i="17"/>
  <c r="P625" i="17" s="1"/>
  <c r="O471" i="17"/>
  <c r="O625" i="17" s="1"/>
  <c r="N471" i="17"/>
  <c r="N625" i="17" s="1"/>
  <c r="M471" i="17"/>
  <c r="M625" i="17" s="1"/>
  <c r="L471" i="17"/>
  <c r="L625" i="17" s="1"/>
  <c r="T468" i="17"/>
  <c r="J322" i="16" s="1"/>
  <c r="S468" i="17"/>
  <c r="S467" i="17" s="1"/>
  <c r="S546" i="17" s="1"/>
  <c r="R468" i="17"/>
  <c r="R467" i="17" s="1"/>
  <c r="R546" i="17" s="1"/>
  <c r="Q468" i="17"/>
  <c r="Q467" i="17" s="1"/>
  <c r="Q546" i="17" s="1"/>
  <c r="P468" i="17"/>
  <c r="P467" i="17" s="1"/>
  <c r="P546" i="17" s="1"/>
  <c r="O468" i="17"/>
  <c r="O467" i="17" s="1"/>
  <c r="O546" i="17" s="1"/>
  <c r="N468" i="17"/>
  <c r="N467" i="17" s="1"/>
  <c r="N546" i="17" s="1"/>
  <c r="M468" i="17"/>
  <c r="M467" i="17" s="1"/>
  <c r="M546" i="17" s="1"/>
  <c r="L468" i="17"/>
  <c r="L467" i="17" s="1"/>
  <c r="L546" i="17" s="1"/>
  <c r="U468" i="17"/>
  <c r="K322" i="16" s="1"/>
  <c r="T459" i="17"/>
  <c r="J313" i="16" s="1"/>
  <c r="S459" i="17"/>
  <c r="S591" i="17" s="1"/>
  <c r="R459" i="17"/>
  <c r="R591" i="17" s="1"/>
  <c r="Q459" i="17"/>
  <c r="P459" i="17"/>
  <c r="O459" i="17"/>
  <c r="O591" i="17" s="1"/>
  <c r="N459" i="17"/>
  <c r="N591" i="17" s="1"/>
  <c r="M459" i="17"/>
  <c r="M591" i="17" s="1"/>
  <c r="L459" i="17"/>
  <c r="L591" i="17" s="1"/>
  <c r="U459" i="17"/>
  <c r="K313" i="16" s="1"/>
  <c r="T460" i="17"/>
  <c r="J314" i="16" s="1"/>
  <c r="S460" i="17"/>
  <c r="S592" i="17" s="1"/>
  <c r="R460" i="17"/>
  <c r="R592" i="17" s="1"/>
  <c r="Q460" i="17"/>
  <c r="Q592" i="17" s="1"/>
  <c r="P460" i="17"/>
  <c r="P592" i="17" s="1"/>
  <c r="O460" i="17"/>
  <c r="O592" i="17" s="1"/>
  <c r="N460" i="17"/>
  <c r="N592" i="17" s="1"/>
  <c r="M460" i="17"/>
  <c r="M592" i="17" s="1"/>
  <c r="L460" i="17"/>
  <c r="L592" i="17" s="1"/>
  <c r="U460" i="17"/>
  <c r="K314" i="16" s="1"/>
  <c r="T453" i="17"/>
  <c r="S453" i="17"/>
  <c r="S440" i="17" s="1"/>
  <c r="R453" i="17"/>
  <c r="R440" i="17" s="1"/>
  <c r="Q453" i="17"/>
  <c r="Q440" i="17" s="1"/>
  <c r="P453" i="17"/>
  <c r="P440" i="17" s="1"/>
  <c r="O453" i="17"/>
  <c r="N453" i="17"/>
  <c r="N440" i="17" s="1"/>
  <c r="M453" i="17"/>
  <c r="M440" i="17" s="1"/>
  <c r="L453" i="17"/>
  <c r="L440" i="17" s="1"/>
  <c r="U453" i="17"/>
  <c r="K507" i="17"/>
  <c r="J507" i="17"/>
  <c r="U498" i="17"/>
  <c r="T498" i="17"/>
  <c r="S498" i="17"/>
  <c r="S596" i="17" s="1"/>
  <c r="R498" i="17"/>
  <c r="R596" i="17" s="1"/>
  <c r="Q498" i="17"/>
  <c r="Q596" i="17" s="1"/>
  <c r="P498" i="17"/>
  <c r="P596" i="17" s="1"/>
  <c r="O498" i="17"/>
  <c r="O596" i="17" s="1"/>
  <c r="N498" i="17"/>
  <c r="N596" i="17" s="1"/>
  <c r="M498" i="17"/>
  <c r="M596" i="17" s="1"/>
  <c r="L498" i="17"/>
  <c r="L596" i="17" s="1"/>
  <c r="K498" i="17"/>
  <c r="K596" i="17" s="1"/>
  <c r="J498" i="17"/>
  <c r="J596" i="17" s="1"/>
  <c r="U493" i="17"/>
  <c r="T493" i="17"/>
  <c r="S493" i="17"/>
  <c r="S634" i="17" s="1"/>
  <c r="R493" i="17"/>
  <c r="R634" i="17" s="1"/>
  <c r="Q493" i="17"/>
  <c r="Q634" i="17" s="1"/>
  <c r="P493" i="17"/>
  <c r="P634" i="17" s="1"/>
  <c r="O493" i="17"/>
  <c r="O634" i="17" s="1"/>
  <c r="N493" i="17"/>
  <c r="N634" i="17" s="1"/>
  <c r="M493" i="17"/>
  <c r="M634" i="17" s="1"/>
  <c r="L493" i="17"/>
  <c r="L634" i="17" s="1"/>
  <c r="K493" i="17"/>
  <c r="K634" i="17" s="1"/>
  <c r="J493" i="17"/>
  <c r="J634" i="17" s="1"/>
  <c r="T472" i="17"/>
  <c r="J326" i="16" s="1"/>
  <c r="R472" i="17"/>
  <c r="P472" i="17"/>
  <c r="O472" i="17"/>
  <c r="M472" i="17"/>
  <c r="L472" i="17"/>
  <c r="K472" i="17"/>
  <c r="J472" i="17"/>
  <c r="K467" i="17"/>
  <c r="K546" i="17" s="1"/>
  <c r="J467" i="17"/>
  <c r="J546" i="17" s="1"/>
  <c r="K462" i="17"/>
  <c r="K594" i="17" s="1"/>
  <c r="J462" i="17"/>
  <c r="J594" i="17" s="1"/>
  <c r="U454" i="17"/>
  <c r="T454" i="17"/>
  <c r="S454" i="17"/>
  <c r="S624" i="17" s="1"/>
  <c r="R454" i="17"/>
  <c r="R624" i="17" s="1"/>
  <c r="Q454" i="17"/>
  <c r="Q624" i="17" s="1"/>
  <c r="P454" i="17"/>
  <c r="P624" i="17" s="1"/>
  <c r="O454" i="17"/>
  <c r="O624" i="17" s="1"/>
  <c r="N454" i="17"/>
  <c r="N624" i="17" s="1"/>
  <c r="M454" i="17"/>
  <c r="M624" i="17" s="1"/>
  <c r="L454" i="17"/>
  <c r="L624" i="17" s="1"/>
  <c r="K454" i="17"/>
  <c r="J454" i="17"/>
  <c r="U447" i="17"/>
  <c r="T447" i="17" s="1"/>
  <c r="S447" i="17" s="1"/>
  <c r="R447" i="17" s="1"/>
  <c r="Q447" i="17" s="1"/>
  <c r="P447" i="17" s="1"/>
  <c r="O447" i="17" s="1"/>
  <c r="N447" i="17" s="1"/>
  <c r="M447" i="17" s="1"/>
  <c r="L447" i="17" s="1"/>
  <c r="K447" i="17" s="1"/>
  <c r="J447" i="17" s="1"/>
  <c r="T438" i="17"/>
  <c r="J292" i="16" s="1"/>
  <c r="S438" i="17"/>
  <c r="R438" i="17"/>
  <c r="Q438" i="17"/>
  <c r="P438" i="17"/>
  <c r="O438" i="17"/>
  <c r="N438" i="17"/>
  <c r="M438" i="17"/>
  <c r="U438" i="17"/>
  <c r="K292" i="16" s="1"/>
  <c r="K434" i="17"/>
  <c r="J434" i="17"/>
  <c r="K425" i="17"/>
  <c r="J425" i="17"/>
  <c r="K417" i="17"/>
  <c r="J417" i="17"/>
  <c r="T433" i="17"/>
  <c r="J287" i="16" s="1"/>
  <c r="S433" i="17"/>
  <c r="R433" i="17"/>
  <c r="Q433" i="17"/>
  <c r="P433" i="17"/>
  <c r="O433" i="17"/>
  <c r="N433" i="17"/>
  <c r="M433" i="17"/>
  <c r="L433" i="17"/>
  <c r="U433" i="17"/>
  <c r="T421" i="17"/>
  <c r="S421" i="17"/>
  <c r="S425" i="17" s="1"/>
  <c r="R421" i="17"/>
  <c r="R425" i="17" s="1"/>
  <c r="Q421" i="17"/>
  <c r="Q425" i="17" s="1"/>
  <c r="P421" i="17"/>
  <c r="O421" i="17"/>
  <c r="N421" i="17"/>
  <c r="M421" i="17"/>
  <c r="M425" i="17" s="1"/>
  <c r="L421" i="17"/>
  <c r="L425" i="17" s="1"/>
  <c r="U421" i="17"/>
  <c r="T415" i="17"/>
  <c r="S415" i="17"/>
  <c r="S417" i="17" s="1"/>
  <c r="R415" i="17"/>
  <c r="R417" i="17" s="1"/>
  <c r="Q415" i="17"/>
  <c r="Q417" i="17" s="1"/>
  <c r="P415" i="17"/>
  <c r="P417" i="17" s="1"/>
  <c r="O415" i="17"/>
  <c r="O417" i="17" s="1"/>
  <c r="N415" i="17"/>
  <c r="N417" i="17" s="1"/>
  <c r="M415" i="17"/>
  <c r="M417" i="17" s="1"/>
  <c r="L415" i="17"/>
  <c r="L417" i="17" s="1"/>
  <c r="U415" i="17"/>
  <c r="U404" i="17"/>
  <c r="T404" i="17" s="1"/>
  <c r="S404" i="17" s="1"/>
  <c r="R404" i="17" s="1"/>
  <c r="Q404" i="17" s="1"/>
  <c r="P404" i="17" s="1"/>
  <c r="O404" i="17" s="1"/>
  <c r="N404" i="17" s="1"/>
  <c r="M404" i="17" s="1"/>
  <c r="L404" i="17" s="1"/>
  <c r="K404" i="17" s="1"/>
  <c r="J404" i="17" s="1"/>
  <c r="T349" i="17"/>
  <c r="S349" i="17"/>
  <c r="S39" i="18" s="1"/>
  <c r="K11" i="15" a="1"/>
  <c r="K11" i="15" l="1"/>
  <c r="J202" i="16"/>
  <c r="T39" i="18"/>
  <c r="Y53" i="18"/>
  <c r="Z53" i="18" s="1"/>
  <c r="AA53" i="18" s="1"/>
  <c r="AB53" i="18" s="1"/>
  <c r="AC53" i="18" s="1"/>
  <c r="AD53" i="18" s="1"/>
  <c r="AE53" i="18" s="1"/>
  <c r="AF53" i="18" s="1"/>
  <c r="AG53" i="18" s="1"/>
  <c r="AH53" i="18" s="1"/>
  <c r="Y88" i="18"/>
  <c r="Z88" i="18" s="1"/>
  <c r="AA88" i="18" s="1"/>
  <c r="AB88" i="18" s="1"/>
  <c r="AC88" i="18" s="1"/>
  <c r="AD88" i="18" s="1"/>
  <c r="AE88" i="18" s="1"/>
  <c r="AF88" i="18" s="1"/>
  <c r="AG88" i="18" s="1"/>
  <c r="AH88" i="18" s="1"/>
  <c r="Y48" i="17"/>
  <c r="Z48" i="17" s="1"/>
  <c r="AA48" i="17" s="1"/>
  <c r="AB48" i="17" s="1"/>
  <c r="AC48" i="17" s="1"/>
  <c r="AD48" i="17" s="1"/>
  <c r="AE48" i="17" s="1"/>
  <c r="AF48" i="17" s="1"/>
  <c r="AG48" i="17" s="1"/>
  <c r="AH48" i="17" s="1"/>
  <c r="Y6" i="18"/>
  <c r="T624" i="17"/>
  <c r="J308" i="16"/>
  <c r="T634" i="17"/>
  <c r="J347" i="16"/>
  <c r="U624" i="17"/>
  <c r="K308" i="16"/>
  <c r="K486" i="16" s="1"/>
  <c r="U634" i="17"/>
  <c r="K347" i="16"/>
  <c r="T440" i="17"/>
  <c r="J294" i="16" s="1"/>
  <c r="J307" i="16"/>
  <c r="J362" i="16"/>
  <c r="O623" i="17"/>
  <c r="O626" i="17" s="1"/>
  <c r="O440" i="17"/>
  <c r="U596" i="17"/>
  <c r="K352" i="16"/>
  <c r="K466" i="16" s="1"/>
  <c r="T596" i="17"/>
  <c r="J352" i="16"/>
  <c r="J466" i="16" s="1"/>
  <c r="K372" i="16"/>
  <c r="K532" i="16" s="1"/>
  <c r="L530" i="16" s="1"/>
  <c r="L532" i="16" s="1"/>
  <c r="K307" i="16"/>
  <c r="K484" i="16" s="1"/>
  <c r="L481" i="16" s="1"/>
  <c r="U440" i="17"/>
  <c r="K294" i="16" s="1"/>
  <c r="T417" i="17"/>
  <c r="J271" i="16" s="1"/>
  <c r="J269" i="16"/>
  <c r="U467" i="17"/>
  <c r="U464" i="17" s="1"/>
  <c r="K318" i="16" s="1"/>
  <c r="T467" i="17"/>
  <c r="T464" i="17" s="1"/>
  <c r="J318" i="16" s="1"/>
  <c r="U625" i="17"/>
  <c r="U592" i="17"/>
  <c r="K462" i="16"/>
  <c r="T425" i="17"/>
  <c r="J279" i="16" s="1"/>
  <c r="J275" i="16"/>
  <c r="T592" i="17"/>
  <c r="J462" i="16"/>
  <c r="U417" i="17"/>
  <c r="K271" i="16" s="1"/>
  <c r="K269" i="16"/>
  <c r="T625" i="17"/>
  <c r="U519" i="17"/>
  <c r="T519" i="17"/>
  <c r="J373" i="16" s="1"/>
  <c r="U425" i="17"/>
  <c r="K279" i="16" s="1"/>
  <c r="K275" i="16"/>
  <c r="U670" i="17"/>
  <c r="K287" i="16"/>
  <c r="U591" i="17"/>
  <c r="K461" i="16"/>
  <c r="T591" i="17"/>
  <c r="J461" i="16"/>
  <c r="M6" i="16"/>
  <c r="N6" i="16" s="1"/>
  <c r="O6" i="16" s="1"/>
  <c r="P6" i="16" s="1"/>
  <c r="Q6" i="16" s="1"/>
  <c r="R6" i="16" s="1"/>
  <c r="S6" i="16" s="1"/>
  <c r="T6" i="16" s="1"/>
  <c r="U6" i="16" s="1"/>
  <c r="L507" i="17"/>
  <c r="L514" i="17" s="1"/>
  <c r="T507" i="17"/>
  <c r="K560" i="17"/>
  <c r="Q548" i="17"/>
  <c r="S548" i="17"/>
  <c r="J687" i="17"/>
  <c r="J686" i="17"/>
  <c r="J550" i="17"/>
  <c r="M429" i="17"/>
  <c r="M434" i="17" s="1"/>
  <c r="M437" i="17" s="1"/>
  <c r="M669" i="17"/>
  <c r="M650" i="17"/>
  <c r="M670" i="17"/>
  <c r="J514" i="17"/>
  <c r="J635" i="17"/>
  <c r="J636" i="17" s="1"/>
  <c r="N429" i="17"/>
  <c r="N434" i="17" s="1"/>
  <c r="N669" i="17"/>
  <c r="N670" i="17"/>
  <c r="N650" i="17"/>
  <c r="N425" i="17"/>
  <c r="N548" i="17"/>
  <c r="L429" i="17"/>
  <c r="L434" i="17" s="1"/>
  <c r="L437" i="17" s="1"/>
  <c r="L669" i="17"/>
  <c r="L650" i="17"/>
  <c r="L670" i="17"/>
  <c r="T429" i="17"/>
  <c r="T669" i="17"/>
  <c r="T650" i="17"/>
  <c r="T670" i="17"/>
  <c r="P623" i="17"/>
  <c r="P626" i="17" s="1"/>
  <c r="P673" i="17"/>
  <c r="J624" i="17"/>
  <c r="J626" i="17" s="1"/>
  <c r="J673" i="17"/>
  <c r="J671" i="17"/>
  <c r="K555" i="17"/>
  <c r="K641" i="17" s="1"/>
  <c r="P425" i="17"/>
  <c r="P548" i="17"/>
  <c r="K673" i="17"/>
  <c r="K624" i="17"/>
  <c r="K626" i="17" s="1"/>
  <c r="K514" i="17"/>
  <c r="K635" i="17"/>
  <c r="K636" i="17" s="1"/>
  <c r="K671" i="17"/>
  <c r="T578" i="17"/>
  <c r="U584" i="17"/>
  <c r="O429" i="17"/>
  <c r="O434" i="17" s="1"/>
  <c r="O669" i="17"/>
  <c r="O650" i="17"/>
  <c r="O670" i="17"/>
  <c r="U673" i="17"/>
  <c r="U623" i="17"/>
  <c r="S673" i="17"/>
  <c r="S623" i="17"/>
  <c r="S626" i="17" s="1"/>
  <c r="R548" i="17"/>
  <c r="O425" i="17"/>
  <c r="O548" i="17"/>
  <c r="Q623" i="17"/>
  <c r="Q626" i="17" s="1"/>
  <c r="Q673" i="17"/>
  <c r="R673" i="17"/>
  <c r="R623" i="17"/>
  <c r="R626" i="17" s="1"/>
  <c r="P429" i="17"/>
  <c r="P434" i="17" s="1"/>
  <c r="P650" i="17"/>
  <c r="P670" i="17"/>
  <c r="P669" i="17"/>
  <c r="L673" i="17"/>
  <c r="L623" i="17"/>
  <c r="L626" i="17" s="1"/>
  <c r="T673" i="17"/>
  <c r="T623" i="17"/>
  <c r="P591" i="17"/>
  <c r="Q429" i="17"/>
  <c r="Q434" i="17" s="1"/>
  <c r="Q437" i="17" s="1"/>
  <c r="Q670" i="17"/>
  <c r="Q650" i="17"/>
  <c r="Q669" i="17"/>
  <c r="M673" i="17"/>
  <c r="M623" i="17"/>
  <c r="M626" i="17" s="1"/>
  <c r="Q591" i="17"/>
  <c r="K606" i="17"/>
  <c r="U548" i="17"/>
  <c r="L548" i="17"/>
  <c r="T548" i="17"/>
  <c r="M548" i="17"/>
  <c r="K550" i="17"/>
  <c r="J606" i="17"/>
  <c r="R429" i="17"/>
  <c r="R434" i="17" s="1"/>
  <c r="R437" i="17" s="1"/>
  <c r="R670" i="17"/>
  <c r="R669" i="17"/>
  <c r="N673" i="17"/>
  <c r="N623" i="17"/>
  <c r="N626" i="17" s="1"/>
  <c r="U429" i="17"/>
  <c r="U669" i="17"/>
  <c r="U650" i="17"/>
  <c r="S429" i="17"/>
  <c r="S434" i="17" s="1"/>
  <c r="S437" i="17" s="1"/>
  <c r="S670" i="17"/>
  <c r="S669" i="17"/>
  <c r="S650" i="17"/>
  <c r="O673" i="17"/>
  <c r="R650" i="17"/>
  <c r="K686" i="17"/>
  <c r="O507" i="17"/>
  <c r="J437" i="17"/>
  <c r="O522" i="17"/>
  <c r="O44" i="18" s="1"/>
  <c r="P522" i="17"/>
  <c r="P44" i="18" s="1"/>
  <c r="P507" i="17"/>
  <c r="L504" i="17"/>
  <c r="T504" i="17"/>
  <c r="J358" i="16" s="1"/>
  <c r="J478" i="17"/>
  <c r="M504" i="17"/>
  <c r="U504" i="17"/>
  <c r="K358" i="16" s="1"/>
  <c r="S522" i="17"/>
  <c r="S44" i="18" s="1"/>
  <c r="R507" i="17"/>
  <c r="Q464" i="17"/>
  <c r="Q462" i="17" s="1"/>
  <c r="L522" i="17"/>
  <c r="J465" i="17"/>
  <c r="N504" i="17"/>
  <c r="Q507" i="17"/>
  <c r="P504" i="17"/>
  <c r="K437" i="17"/>
  <c r="K504" i="17"/>
  <c r="S504" i="17"/>
  <c r="M522" i="17"/>
  <c r="M44" i="18" s="1"/>
  <c r="L464" i="17"/>
  <c r="L462" i="17" s="1"/>
  <c r="S507" i="17"/>
  <c r="Q504" i="17"/>
  <c r="O478" i="17"/>
  <c r="O504" i="17"/>
  <c r="S464" i="17"/>
  <c r="S462" i="17" s="1"/>
  <c r="O464" i="17"/>
  <c r="O462" i="17" s="1"/>
  <c r="M464" i="17"/>
  <c r="M462" i="17" s="1"/>
  <c r="K465" i="17"/>
  <c r="J504" i="17"/>
  <c r="R504" i="17"/>
  <c r="Q522" i="17"/>
  <c r="Q44" i="18" s="1"/>
  <c r="N522" i="17"/>
  <c r="N44" i="18" s="1"/>
  <c r="R522" i="17"/>
  <c r="R44" i="18" s="1"/>
  <c r="K478" i="17"/>
  <c r="P464" i="17"/>
  <c r="P462" i="17" s="1"/>
  <c r="N464" i="17"/>
  <c r="N462" i="17" s="1"/>
  <c r="R464" i="17"/>
  <c r="R462" i="17" s="1"/>
  <c r="L478" i="17"/>
  <c r="M507" i="17"/>
  <c r="N507" i="17"/>
  <c r="U507" i="17"/>
  <c r="K361" i="16" s="1"/>
  <c r="P478" i="17"/>
  <c r="S478" i="17"/>
  <c r="R478" i="17"/>
  <c r="N478" i="17"/>
  <c r="Q478" i="17"/>
  <c r="M478" i="17"/>
  <c r="T389" i="17"/>
  <c r="S389" i="17"/>
  <c r="R389" i="17"/>
  <c r="Q389" i="17"/>
  <c r="P389" i="17"/>
  <c r="O389" i="17"/>
  <c r="N389" i="17"/>
  <c r="M389" i="17"/>
  <c r="L389" i="17"/>
  <c r="U389" i="17"/>
  <c r="T382" i="17"/>
  <c r="S382" i="17"/>
  <c r="R382" i="17"/>
  <c r="Q382" i="17"/>
  <c r="Q384" i="17" s="1"/>
  <c r="P382" i="17"/>
  <c r="P384" i="17" s="1"/>
  <c r="O382" i="17"/>
  <c r="O384" i="17" s="1"/>
  <c r="N382" i="17"/>
  <c r="N384" i="17" s="1"/>
  <c r="M382" i="17"/>
  <c r="M384" i="17" s="1"/>
  <c r="L382" i="17"/>
  <c r="L384" i="17" s="1"/>
  <c r="U382" i="17"/>
  <c r="K384" i="17"/>
  <c r="J384" i="17"/>
  <c r="T377" i="17"/>
  <c r="L232" i="16" s="1"/>
  <c r="S377" i="17"/>
  <c r="K232" i="16" s="1"/>
  <c r="R377" i="17"/>
  <c r="J232" i="16" s="1"/>
  <c r="Q377" i="17"/>
  <c r="P377" i="17"/>
  <c r="O377" i="17"/>
  <c r="N377" i="17"/>
  <c r="M377" i="17"/>
  <c r="L377" i="17"/>
  <c r="U377" i="17"/>
  <c r="M232" i="16" s="1"/>
  <c r="T373" i="17"/>
  <c r="L228" i="16" s="1"/>
  <c r="S373" i="17"/>
  <c r="K228" i="16" s="1"/>
  <c r="R373" i="17"/>
  <c r="J228" i="16" s="1"/>
  <c r="Q373" i="17"/>
  <c r="P373" i="17"/>
  <c r="O373" i="17"/>
  <c r="N373" i="17"/>
  <c r="M373" i="17"/>
  <c r="L373" i="17"/>
  <c r="U373" i="17"/>
  <c r="M228" i="16" s="1"/>
  <c r="T369" i="17"/>
  <c r="L224" i="16" s="1"/>
  <c r="S369" i="17"/>
  <c r="K224" i="16" s="1"/>
  <c r="R369" i="17"/>
  <c r="J224" i="16" s="1"/>
  <c r="Q369" i="17"/>
  <c r="P369" i="17"/>
  <c r="O369" i="17"/>
  <c r="N369" i="17"/>
  <c r="M369" i="17"/>
  <c r="L369" i="17"/>
  <c r="U369" i="17"/>
  <c r="M224" i="16" s="1"/>
  <c r="K367" i="17"/>
  <c r="J367" i="17"/>
  <c r="H365" i="17"/>
  <c r="U361" i="17"/>
  <c r="K353" i="17"/>
  <c r="J353" i="17"/>
  <c r="AH118" i="17"/>
  <c r="AG118" i="17"/>
  <c r="AF118" i="17"/>
  <c r="AE118" i="17"/>
  <c r="AD118" i="17"/>
  <c r="AC118" i="17"/>
  <c r="AB118" i="17"/>
  <c r="AA118" i="17"/>
  <c r="Z118" i="17"/>
  <c r="Y118" i="17"/>
  <c r="AH117" i="17"/>
  <c r="AG117" i="17"/>
  <c r="AF117" i="17"/>
  <c r="AE117" i="17"/>
  <c r="AD117" i="17"/>
  <c r="AC117" i="17"/>
  <c r="AB117" i="17"/>
  <c r="AA117" i="17"/>
  <c r="Z117" i="17"/>
  <c r="Y117" i="17"/>
  <c r="AH116" i="17"/>
  <c r="AG116" i="17"/>
  <c r="AF116" i="17"/>
  <c r="AE116" i="17"/>
  <c r="AD116" i="17"/>
  <c r="AC116" i="17"/>
  <c r="AB116" i="17"/>
  <c r="AA116" i="17"/>
  <c r="Z116" i="17"/>
  <c r="Y116" i="17"/>
  <c r="AH115" i="17"/>
  <c r="AG115" i="17"/>
  <c r="AF115" i="17"/>
  <c r="AE115" i="17"/>
  <c r="AD115" i="17"/>
  <c r="AC115" i="17"/>
  <c r="AB115" i="17"/>
  <c r="AA115" i="17"/>
  <c r="Z115" i="17"/>
  <c r="Y115" i="17"/>
  <c r="AH114" i="17"/>
  <c r="AG114" i="17"/>
  <c r="AF114" i="17"/>
  <c r="AE114" i="17"/>
  <c r="AD114" i="17"/>
  <c r="AC114" i="17"/>
  <c r="AB114" i="17"/>
  <c r="AA114" i="17"/>
  <c r="Z114" i="17"/>
  <c r="Y114" i="17"/>
  <c r="AH113" i="17"/>
  <c r="AG113" i="17"/>
  <c r="AF113" i="17"/>
  <c r="AE113" i="17"/>
  <c r="AD113" i="17"/>
  <c r="AC113" i="17"/>
  <c r="AB113" i="17"/>
  <c r="AA113" i="17"/>
  <c r="Z113" i="17"/>
  <c r="Y113" i="17"/>
  <c r="AH112" i="17"/>
  <c r="AG112" i="17"/>
  <c r="AF112" i="17"/>
  <c r="AE112" i="17"/>
  <c r="AD112" i="17"/>
  <c r="AC112" i="17"/>
  <c r="AB112" i="17"/>
  <c r="AA112" i="17"/>
  <c r="Z112" i="17"/>
  <c r="Y112" i="17"/>
  <c r="AH111" i="17"/>
  <c r="AG111" i="17"/>
  <c r="AF111" i="17"/>
  <c r="AE111" i="17"/>
  <c r="AD111" i="17"/>
  <c r="AC111" i="17"/>
  <c r="AB111" i="17"/>
  <c r="AA111" i="17"/>
  <c r="Z111" i="17"/>
  <c r="Y111" i="17"/>
  <c r="AH107" i="17"/>
  <c r="AG107" i="17"/>
  <c r="AF107" i="17"/>
  <c r="AE107" i="17"/>
  <c r="AD107" i="17"/>
  <c r="AC107" i="17"/>
  <c r="AB107" i="17"/>
  <c r="AA107" i="17"/>
  <c r="Z107" i="17"/>
  <c r="Y107" i="17"/>
  <c r="AH106" i="17"/>
  <c r="AG106" i="17"/>
  <c r="AF106" i="17"/>
  <c r="AE106" i="17"/>
  <c r="AD106" i="17"/>
  <c r="AC106" i="17"/>
  <c r="AB106" i="17"/>
  <c r="AA106" i="17"/>
  <c r="Z106" i="17"/>
  <c r="Y106" i="17"/>
  <c r="AH105" i="17"/>
  <c r="AG105" i="17"/>
  <c r="AF105" i="17"/>
  <c r="AE105" i="17"/>
  <c r="AD105" i="17"/>
  <c r="AC105" i="17"/>
  <c r="AB105" i="17"/>
  <c r="AA105" i="17"/>
  <c r="Z105" i="17"/>
  <c r="Y105" i="17"/>
  <c r="AH104" i="17"/>
  <c r="AG104" i="17"/>
  <c r="AF104" i="17"/>
  <c r="AE104" i="17"/>
  <c r="AD104" i="17"/>
  <c r="AC104" i="17"/>
  <c r="AB104" i="17"/>
  <c r="AA104" i="17"/>
  <c r="Z104" i="17"/>
  <c r="Y104" i="17"/>
  <c r="AH103" i="17"/>
  <c r="AG103" i="17"/>
  <c r="AF103" i="17"/>
  <c r="AE103" i="17"/>
  <c r="AD103" i="17"/>
  <c r="AC103" i="17"/>
  <c r="AB103" i="17"/>
  <c r="AA103" i="17"/>
  <c r="Z103" i="17"/>
  <c r="Y103" i="17"/>
  <c r="AH102" i="17"/>
  <c r="AG102" i="17"/>
  <c r="AF102" i="17"/>
  <c r="AE102" i="17"/>
  <c r="AD102" i="17"/>
  <c r="AC102" i="17"/>
  <c r="AB102" i="17"/>
  <c r="AA102" i="17"/>
  <c r="Z102" i="17"/>
  <c r="Y102" i="17"/>
  <c r="AH101" i="17"/>
  <c r="AG101" i="17"/>
  <c r="AF101" i="17"/>
  <c r="AE101" i="17"/>
  <c r="AD101" i="17"/>
  <c r="AC101" i="17"/>
  <c r="AB101" i="17"/>
  <c r="AA101" i="17"/>
  <c r="Z101" i="17"/>
  <c r="Y101" i="17"/>
  <c r="AH100" i="17"/>
  <c r="AG100" i="17"/>
  <c r="AF100" i="17"/>
  <c r="AE100" i="17"/>
  <c r="AD100" i="17"/>
  <c r="AC100" i="17"/>
  <c r="AB100" i="17"/>
  <c r="AA100" i="17"/>
  <c r="Z100" i="17"/>
  <c r="Y100" i="17"/>
  <c r="AH99" i="17"/>
  <c r="AG99" i="17"/>
  <c r="AF99" i="17"/>
  <c r="AE99" i="17"/>
  <c r="AD99" i="17"/>
  <c r="AC99" i="17"/>
  <c r="AB99" i="17"/>
  <c r="AA99" i="17"/>
  <c r="Z99" i="17"/>
  <c r="Y99" i="17"/>
  <c r="AH98" i="17"/>
  <c r="AG98" i="17"/>
  <c r="AF98" i="17"/>
  <c r="AE98" i="17"/>
  <c r="AD98" i="17"/>
  <c r="AC98" i="17"/>
  <c r="AB98" i="17"/>
  <c r="AA98" i="17"/>
  <c r="Z98" i="17"/>
  <c r="Y98" i="17"/>
  <c r="K352" i="17"/>
  <c r="K666" i="17" s="1"/>
  <c r="J352" i="17"/>
  <c r="J666" i="17" s="1"/>
  <c r="J681" i="17" s="1"/>
  <c r="T351" i="17"/>
  <c r="S351" i="17"/>
  <c r="S41" i="18" s="1"/>
  <c r="S42" i="18" s="1"/>
  <c r="R351" i="17"/>
  <c r="Q351" i="17"/>
  <c r="P351" i="17"/>
  <c r="O351" i="17"/>
  <c r="N351" i="17"/>
  <c r="M351" i="17"/>
  <c r="L351" i="17"/>
  <c r="U351" i="17"/>
  <c r="U41" i="18" s="1"/>
  <c r="R349" i="17"/>
  <c r="R39" i="18" s="1"/>
  <c r="Q349" i="17"/>
  <c r="Q39" i="18" s="1"/>
  <c r="P349" i="17"/>
  <c r="P39" i="18" s="1"/>
  <c r="O349" i="17"/>
  <c r="O39" i="18" s="1"/>
  <c r="N349" i="17"/>
  <c r="N39" i="18" s="1"/>
  <c r="M349" i="17"/>
  <c r="M39" i="18" s="1"/>
  <c r="L349" i="17"/>
  <c r="L39" i="18" s="1"/>
  <c r="U349" i="17"/>
  <c r="U39" i="18" s="1"/>
  <c r="T347" i="17"/>
  <c r="S347" i="17"/>
  <c r="S350" i="17" s="1"/>
  <c r="R347" i="17"/>
  <c r="R350" i="17" s="1"/>
  <c r="Q347" i="17"/>
  <c r="P347" i="17"/>
  <c r="O347" i="17"/>
  <c r="N347" i="17"/>
  <c r="M347" i="17"/>
  <c r="L347" i="17"/>
  <c r="U347" i="17"/>
  <c r="K373" i="16" l="1"/>
  <c r="K545" i="16" s="1"/>
  <c r="L542" i="16" s="1"/>
  <c r="U522" i="17"/>
  <c r="U44" i="18" s="1"/>
  <c r="N350" i="17"/>
  <c r="Q350" i="17"/>
  <c r="L244" i="16"/>
  <c r="O350" i="17"/>
  <c r="P350" i="17"/>
  <c r="K200" i="16"/>
  <c r="U350" i="17"/>
  <c r="L350" i="17"/>
  <c r="J200" i="16"/>
  <c r="T350" i="17"/>
  <c r="J244" i="16"/>
  <c r="M350" i="17"/>
  <c r="M244" i="16"/>
  <c r="K244" i="16"/>
  <c r="T626" i="17"/>
  <c r="T627" i="17" s="1"/>
  <c r="S45" i="18"/>
  <c r="P667" i="17"/>
  <c r="P41" i="18"/>
  <c r="P42" i="18" s="1"/>
  <c r="P45" i="18" s="1"/>
  <c r="M667" i="17"/>
  <c r="M41" i="18"/>
  <c r="M42" i="18" s="1"/>
  <c r="M45" i="18" s="1"/>
  <c r="N667" i="17"/>
  <c r="N41" i="18"/>
  <c r="N42" i="18" s="1"/>
  <c r="N45" i="18" s="1"/>
  <c r="U478" i="17"/>
  <c r="K332" i="16" s="1"/>
  <c r="R667" i="17"/>
  <c r="R41" i="18"/>
  <c r="R42" i="18" s="1"/>
  <c r="R45" i="18" s="1"/>
  <c r="O667" i="17"/>
  <c r="O41" i="18"/>
  <c r="O42" i="18" s="1"/>
  <c r="O45" i="18" s="1"/>
  <c r="Z6" i="18"/>
  <c r="Y35" i="18" a="1"/>
  <c r="Y35" i="18" s="1"/>
  <c r="Y102" i="18" a="1"/>
  <c r="Y102" i="18" s="1"/>
  <c r="Y108" i="18" a="1"/>
  <c r="Y108" i="18" s="1"/>
  <c r="Y101" i="18" a="1"/>
  <c r="Y101" i="18" s="1"/>
  <c r="Y15" i="18" a="1"/>
  <c r="Y15" i="18" s="1"/>
  <c r="Y37" i="18" a="1"/>
  <c r="Y37" i="18" s="1"/>
  <c r="Y98" i="18" a="1"/>
  <c r="Y98" i="18" s="1"/>
  <c r="Y94" i="18" a="1"/>
  <c r="Y94" i="18" s="1"/>
  <c r="Y80" i="18" a="1"/>
  <c r="Y80" i="18" s="1"/>
  <c r="Y27" i="18" a="1"/>
  <c r="Y27" i="18" s="1"/>
  <c r="Y93" i="18" a="1"/>
  <c r="Y93" i="18" s="1"/>
  <c r="Y30" i="18" a="1"/>
  <c r="Y30" i="18" s="1"/>
  <c r="Y32" i="18" a="1"/>
  <c r="Y32" i="18" s="1"/>
  <c r="Y17" i="18" a="1"/>
  <c r="Y17" i="18" s="1"/>
  <c r="Y97" i="18" a="1"/>
  <c r="Y97" i="18" s="1"/>
  <c r="Y64" i="18" a="1"/>
  <c r="Y64" i="18" s="1"/>
  <c r="Y66" i="18" a="1"/>
  <c r="Y66" i="18" s="1"/>
  <c r="Y20" i="18" a="1"/>
  <c r="Y20" i="18" s="1"/>
  <c r="Y33" i="18" a="1"/>
  <c r="Y33" i="18" s="1"/>
  <c r="Y81" i="18" a="1"/>
  <c r="Y81" i="18" s="1"/>
  <c r="Y59" i="18" a="1"/>
  <c r="Y59" i="18" s="1"/>
  <c r="Y60" i="18" s="1"/>
  <c r="Y110" i="18" a="1"/>
  <c r="Y110" i="18" s="1"/>
  <c r="Y62" i="18" a="1"/>
  <c r="Y62" i="18" s="1"/>
  <c r="Y79" i="18" a="1"/>
  <c r="Y79" i="18" s="1"/>
  <c r="Y12" i="18" a="1"/>
  <c r="Y12" i="18" s="1"/>
  <c r="Y107" i="18" a="1"/>
  <c r="Y107" i="18" s="1"/>
  <c r="Y105" i="18" a="1"/>
  <c r="Y105" i="18" s="1"/>
  <c r="Y31" i="18" a="1"/>
  <c r="Y31" i="18" s="1"/>
  <c r="Y22" i="18" a="1"/>
  <c r="Y22" i="18" s="1"/>
  <c r="Y11" i="18" a="1"/>
  <c r="Y11" i="18" s="1"/>
  <c r="Y18" i="18" a="1"/>
  <c r="Y18" i="18" s="1"/>
  <c r="Y34" i="18" a="1"/>
  <c r="Y34" i="18" s="1"/>
  <c r="Y95" i="18" a="1"/>
  <c r="Y95" i="18" s="1"/>
  <c r="Y100" i="18" a="1"/>
  <c r="Y100" i="18" s="1"/>
  <c r="Y109" i="18" a="1"/>
  <c r="Y109" i="18" s="1"/>
  <c r="Y10" i="18" a="1"/>
  <c r="Y10" i="18" s="1"/>
  <c r="Y57" i="18" a="1"/>
  <c r="Y57" i="18" s="1"/>
  <c r="Y58" i="18" s="1"/>
  <c r="Y99" i="18" a="1"/>
  <c r="Y99" i="18" s="1"/>
  <c r="Y106" i="18" a="1"/>
  <c r="Y106" i="18" s="1"/>
  <c r="Y67" i="18" a="1"/>
  <c r="Y67" i="18" s="1"/>
  <c r="Y104" i="18" a="1"/>
  <c r="Y104" i="18" s="1"/>
  <c r="Y103" i="18" a="1"/>
  <c r="Y103" i="18" s="1"/>
  <c r="Y96" i="18" a="1"/>
  <c r="Y96" i="18" s="1"/>
  <c r="K298" i="18"/>
  <c r="T172" i="18"/>
  <c r="L345" i="18" s="1"/>
  <c r="S172" i="18"/>
  <c r="K345" i="18" s="1"/>
  <c r="U172" i="18"/>
  <c r="M345" i="18" s="1"/>
  <c r="R172" i="18"/>
  <c r="J345" i="18" s="1"/>
  <c r="Q172" i="18"/>
  <c r="P172" i="18"/>
  <c r="L555" i="17"/>
  <c r="L641" i="17" s="1"/>
  <c r="L44" i="18"/>
  <c r="J293" i="18"/>
  <c r="O166" i="18"/>
  <c r="O167" i="18" s="1"/>
  <c r="N166" i="18"/>
  <c r="N167" i="18" s="1"/>
  <c r="M166" i="18"/>
  <c r="M167" i="18" s="1"/>
  <c r="L166" i="18"/>
  <c r="L167" i="18" s="1"/>
  <c r="Q667" i="17"/>
  <c r="Q41" i="18"/>
  <c r="Q42" i="18" s="1"/>
  <c r="Q45" i="18" s="1"/>
  <c r="K293" i="18"/>
  <c r="Z39" i="18"/>
  <c r="AC39" i="18"/>
  <c r="AH39" i="18"/>
  <c r="AB39" i="18"/>
  <c r="AA39" i="18"/>
  <c r="AD39" i="18"/>
  <c r="AE39" i="18"/>
  <c r="Y39" i="18"/>
  <c r="AF39" i="18"/>
  <c r="AG39" i="18"/>
  <c r="S166" i="18"/>
  <c r="U166" i="18"/>
  <c r="T166" i="18"/>
  <c r="R166" i="18"/>
  <c r="Q166" i="18"/>
  <c r="Q167" i="18" s="1"/>
  <c r="P166" i="18"/>
  <c r="P167" i="18" s="1"/>
  <c r="K295" i="18"/>
  <c r="U42" i="18"/>
  <c r="S169" i="18"/>
  <c r="U169" i="18"/>
  <c r="T169" i="18"/>
  <c r="R169" i="18"/>
  <c r="Q169" i="18"/>
  <c r="P169" i="18"/>
  <c r="P170" i="18" s="1"/>
  <c r="L667" i="17"/>
  <c r="L41" i="18"/>
  <c r="L42" i="18" s="1"/>
  <c r="J204" i="16"/>
  <c r="T41" i="18"/>
  <c r="T478" i="17"/>
  <c r="J332" i="16" s="1"/>
  <c r="M530" i="16"/>
  <c r="M532" i="16" s="1"/>
  <c r="M372" i="16" s="1"/>
  <c r="L372" i="16"/>
  <c r="K547" i="16"/>
  <c r="K505" i="16"/>
  <c r="L503" i="16" s="1"/>
  <c r="U671" i="17"/>
  <c r="K376" i="16"/>
  <c r="T522" i="17"/>
  <c r="T546" i="17"/>
  <c r="J321" i="16"/>
  <c r="T514" i="17"/>
  <c r="J361" i="16"/>
  <c r="J547" i="16" s="1"/>
  <c r="K548" i="16" s="1"/>
  <c r="U546" i="17"/>
  <c r="K321" i="16"/>
  <c r="U626" i="17"/>
  <c r="K487" i="16"/>
  <c r="K488" i="16" s="1"/>
  <c r="L325" i="16"/>
  <c r="K513" i="16"/>
  <c r="L511" i="16" s="1"/>
  <c r="L513" i="16" s="1"/>
  <c r="T384" i="17"/>
  <c r="L237" i="16"/>
  <c r="L239" i="16" s="1"/>
  <c r="T462" i="17"/>
  <c r="J316" i="16" s="1"/>
  <c r="T434" i="17"/>
  <c r="J283" i="16"/>
  <c r="U434" i="17"/>
  <c r="K283" i="16"/>
  <c r="AD349" i="17"/>
  <c r="K202" i="16"/>
  <c r="R384" i="17"/>
  <c r="J237" i="16"/>
  <c r="J239" i="16" s="1"/>
  <c r="U667" i="17"/>
  <c r="K204" i="16"/>
  <c r="U384" i="17"/>
  <c r="M237" i="16"/>
  <c r="M239" i="16" s="1"/>
  <c r="S384" i="17"/>
  <c r="K237" i="16"/>
  <c r="K239" i="16" s="1"/>
  <c r="AB369" i="17"/>
  <c r="AA369" i="17"/>
  <c r="AH369" i="17"/>
  <c r="Z369" i="17"/>
  <c r="AG369" i="17"/>
  <c r="Y369" i="17"/>
  <c r="AC369" i="17"/>
  <c r="AF369" i="17"/>
  <c r="AE369" i="17"/>
  <c r="AD369" i="17"/>
  <c r="AH373" i="17"/>
  <c r="Z373" i="17"/>
  <c r="AG373" i="17"/>
  <c r="Y373" i="17"/>
  <c r="AF373" i="17"/>
  <c r="AE373" i="17"/>
  <c r="AD373" i="17"/>
  <c r="AA373" i="17"/>
  <c r="AC373" i="17"/>
  <c r="AB373" i="17"/>
  <c r="AF377" i="17"/>
  <c r="AE377" i="17"/>
  <c r="AG377" i="17"/>
  <c r="AD377" i="17"/>
  <c r="AC377" i="17"/>
  <c r="AB377" i="17"/>
  <c r="AA377" i="17"/>
  <c r="AH377" i="17"/>
  <c r="Z377" i="17"/>
  <c r="Y377" i="17"/>
  <c r="U549" i="17"/>
  <c r="P627" i="17"/>
  <c r="T635" i="17"/>
  <c r="T636" i="17" s="1"/>
  <c r="T672" i="17" s="1"/>
  <c r="L635" i="17"/>
  <c r="L636" i="17" s="1"/>
  <c r="L672" i="17" s="1"/>
  <c r="K608" i="17"/>
  <c r="O437" i="17"/>
  <c r="R627" i="17"/>
  <c r="K627" i="17"/>
  <c r="K629" i="17" s="1"/>
  <c r="P437" i="17"/>
  <c r="N437" i="17"/>
  <c r="N549" i="17"/>
  <c r="K516" i="17"/>
  <c r="K524" i="17" s="1"/>
  <c r="J516" i="17"/>
  <c r="J524" i="17" s="1"/>
  <c r="O627" i="17"/>
  <c r="O549" i="17"/>
  <c r="S627" i="17"/>
  <c r="K672" i="17"/>
  <c r="K674" i="17" s="1"/>
  <c r="N514" i="17"/>
  <c r="N516" i="17" s="1"/>
  <c r="N635" i="17"/>
  <c r="N636" i="17" s="1"/>
  <c r="R465" i="17"/>
  <c r="R480" i="17" s="1"/>
  <c r="R594" i="17"/>
  <c r="T465" i="17"/>
  <c r="O514" i="17"/>
  <c r="O516" i="17" s="1"/>
  <c r="O635" i="17"/>
  <c r="O636" i="17" s="1"/>
  <c r="P549" i="17"/>
  <c r="S352" i="17"/>
  <c r="S666" i="17" s="1"/>
  <c r="S681" i="17" s="1"/>
  <c r="S667" i="17"/>
  <c r="M514" i="17"/>
  <c r="M516" i="17" s="1"/>
  <c r="M635" i="17"/>
  <c r="M636" i="17" s="1"/>
  <c r="L465" i="17"/>
  <c r="L480" i="17" s="1"/>
  <c r="L594" i="17"/>
  <c r="N627" i="17"/>
  <c r="J672" i="17"/>
  <c r="J674" i="17" s="1"/>
  <c r="K637" i="17"/>
  <c r="T352" i="17"/>
  <c r="T667" i="17"/>
  <c r="N465" i="17"/>
  <c r="N480" i="17" s="1"/>
  <c r="N594" i="17"/>
  <c r="M671" i="17"/>
  <c r="N555" i="17"/>
  <c r="N641" i="17" s="1"/>
  <c r="L671" i="17"/>
  <c r="M555" i="17"/>
  <c r="M641" i="17" s="1"/>
  <c r="L516" i="17"/>
  <c r="L553" i="17" s="1"/>
  <c r="R549" i="17"/>
  <c r="Q627" i="17"/>
  <c r="P465" i="17"/>
  <c r="P480" i="17" s="1"/>
  <c r="P594" i="17"/>
  <c r="Q465" i="17"/>
  <c r="Q480" i="17" s="1"/>
  <c r="Q594" i="17"/>
  <c r="Q606" i="17" s="1"/>
  <c r="P514" i="17"/>
  <c r="P516" i="17" s="1"/>
  <c r="P635" i="17"/>
  <c r="P636" i="17" s="1"/>
  <c r="S549" i="17"/>
  <c r="J680" i="17"/>
  <c r="K682" i="17"/>
  <c r="R514" i="17"/>
  <c r="R516" i="17" s="1"/>
  <c r="R635" i="17"/>
  <c r="R636" i="17" s="1"/>
  <c r="P671" i="17"/>
  <c r="Q555" i="17"/>
  <c r="Q641" i="17" s="1"/>
  <c r="R671" i="17"/>
  <c r="S555" i="17"/>
  <c r="S641" i="17" s="1"/>
  <c r="M465" i="17"/>
  <c r="M480" i="17" s="1"/>
  <c r="M594" i="17"/>
  <c r="S671" i="17"/>
  <c r="O671" i="17"/>
  <c r="P555" i="17"/>
  <c r="P641" i="17" s="1"/>
  <c r="K680" i="17"/>
  <c r="Q549" i="17"/>
  <c r="M627" i="17"/>
  <c r="S578" i="17"/>
  <c r="T584" i="17"/>
  <c r="L627" i="17"/>
  <c r="O465" i="17"/>
  <c r="O480" i="17" s="1"/>
  <c r="O594" i="17"/>
  <c r="T549" i="17"/>
  <c r="J682" i="17"/>
  <c r="N671" i="17"/>
  <c r="O555" i="17"/>
  <c r="O641" i="17" s="1"/>
  <c r="U514" i="17"/>
  <c r="U635" i="17"/>
  <c r="U636" i="17" s="1"/>
  <c r="U672" i="17" s="1"/>
  <c r="R555" i="17"/>
  <c r="R641" i="17" s="1"/>
  <c r="Q671" i="17"/>
  <c r="S465" i="17"/>
  <c r="S480" i="17" s="1"/>
  <c r="S594" i="17"/>
  <c r="S514" i="17"/>
  <c r="S516" i="17" s="1"/>
  <c r="S635" i="17"/>
  <c r="S636" i="17" s="1"/>
  <c r="Q514" i="17"/>
  <c r="Q516" i="17" s="1"/>
  <c r="Q635" i="17"/>
  <c r="Q636" i="17" s="1"/>
  <c r="K681" i="17"/>
  <c r="M549" i="17"/>
  <c r="L549" i="17"/>
  <c r="J480" i="17"/>
  <c r="R352" i="17"/>
  <c r="R666" i="17" s="1"/>
  <c r="R681" i="17" s="1"/>
  <c r="U352" i="17"/>
  <c r="L352" i="17"/>
  <c r="L666" i="17" s="1"/>
  <c r="L680" i="17" s="1"/>
  <c r="M352" i="17"/>
  <c r="M666" i="17" s="1"/>
  <c r="M681" i="17" s="1"/>
  <c r="K480" i="17"/>
  <c r="Q352" i="17"/>
  <c r="Q666" i="17" s="1"/>
  <c r="AE349" i="17"/>
  <c r="N352" i="17"/>
  <c r="N666" i="17" s="1"/>
  <c r="O352" i="17"/>
  <c r="O666" i="17" s="1"/>
  <c r="O681" i="17" s="1"/>
  <c r="P352" i="17"/>
  <c r="P666" i="17" s="1"/>
  <c r="AF349" i="17"/>
  <c r="Y349" i="17"/>
  <c r="AG349" i="17"/>
  <c r="Z349" i="17"/>
  <c r="AH349" i="17"/>
  <c r="AA349" i="17"/>
  <c r="AB349" i="17"/>
  <c r="AC349" i="17"/>
  <c r="T361" i="17"/>
  <c r="J368" i="16" l="1"/>
  <c r="T516" i="17"/>
  <c r="U627" i="17"/>
  <c r="T594" i="17"/>
  <c r="Q170" i="18"/>
  <c r="L45" i="18"/>
  <c r="P168" i="18"/>
  <c r="P171" i="18" s="1"/>
  <c r="Q173" i="18"/>
  <c r="J342" i="18"/>
  <c r="R170" i="18"/>
  <c r="R167" i="18"/>
  <c r="J339" i="18"/>
  <c r="L342" i="18"/>
  <c r="T170" i="18"/>
  <c r="T167" i="18"/>
  <c r="L339" i="18"/>
  <c r="N168" i="18"/>
  <c r="O168" i="18"/>
  <c r="M168" i="18"/>
  <c r="J376" i="16"/>
  <c r="J391" i="18" s="1"/>
  <c r="T44" i="18"/>
  <c r="J295" i="18"/>
  <c r="T42" i="18"/>
  <c r="O169" i="18"/>
  <c r="O170" i="18" s="1"/>
  <c r="N169" i="18"/>
  <c r="N170" i="18" s="1"/>
  <c r="M169" i="18"/>
  <c r="M170" i="18" s="1"/>
  <c r="L169" i="18"/>
  <c r="L170" i="18" s="1"/>
  <c r="M342" i="18"/>
  <c r="U170" i="18"/>
  <c r="M339" i="18"/>
  <c r="AE166" i="18"/>
  <c r="AE167" i="18" s="1"/>
  <c r="AG166" i="18"/>
  <c r="AG167" i="18" s="1"/>
  <c r="Y166" i="18"/>
  <c r="Y167" i="18" s="1"/>
  <c r="Z166" i="18"/>
  <c r="Z167" i="18" s="1"/>
  <c r="U167" i="18"/>
  <c r="AC166" i="18"/>
  <c r="AC167" i="18" s="1"/>
  <c r="AB166" i="18"/>
  <c r="AB167" i="18" s="1"/>
  <c r="AF166" i="18"/>
  <c r="AF167" i="18" s="1"/>
  <c r="AA166" i="18"/>
  <c r="AA167" i="18" s="1"/>
  <c r="AD166" i="18"/>
  <c r="AD167" i="18" s="1"/>
  <c r="AH166" i="18"/>
  <c r="AH167" i="18" s="1"/>
  <c r="Z104" i="18" a="1"/>
  <c r="Z104" i="18" s="1"/>
  <c r="Z106" i="18" a="1"/>
  <c r="Z106" i="18" s="1"/>
  <c r="Z97" i="18" a="1"/>
  <c r="Z97" i="18" s="1"/>
  <c r="Z67" i="18" a="1"/>
  <c r="Z67" i="18" s="1"/>
  <c r="Z30" i="18" a="1"/>
  <c r="Z30" i="18" s="1"/>
  <c r="Z57" i="18" a="1"/>
  <c r="Z57" i="18" s="1"/>
  <c r="Z58" i="18" s="1"/>
  <c r="Z101" i="18" a="1"/>
  <c r="Z101" i="18" s="1"/>
  <c r="Z102" i="18" a="1"/>
  <c r="Z102" i="18" s="1"/>
  <c r="Z15" i="18" a="1"/>
  <c r="Z15" i="18" s="1"/>
  <c r="Z64" i="18" a="1"/>
  <c r="Z64" i="18" s="1"/>
  <c r="Z32" i="18" a="1"/>
  <c r="Z32" i="18" s="1"/>
  <c r="AA6" i="18"/>
  <c r="Z100" i="18" a="1"/>
  <c r="Z100" i="18" s="1"/>
  <c r="Z59" i="18" a="1"/>
  <c r="Z59" i="18" s="1"/>
  <c r="Z60" i="18" s="1"/>
  <c r="Z110" i="18" a="1"/>
  <c r="Z110" i="18" s="1"/>
  <c r="Z98" i="18" a="1"/>
  <c r="Z98" i="18" s="1"/>
  <c r="Z81" i="18" a="1"/>
  <c r="Z81" i="18" s="1"/>
  <c r="Z34" i="18" a="1"/>
  <c r="Z34" i="18" s="1"/>
  <c r="Z27" i="18" a="1"/>
  <c r="Z27" i="18" s="1"/>
  <c r="Z11" i="18" a="1"/>
  <c r="Z11" i="18" s="1"/>
  <c r="Z93" i="18" a="1"/>
  <c r="Z93" i="18" s="1"/>
  <c r="Z109" i="18" a="1"/>
  <c r="Z109" i="18" s="1"/>
  <c r="Z79" i="18" a="1"/>
  <c r="Z79" i="18" s="1"/>
  <c r="Z18" i="18" a="1"/>
  <c r="Z18" i="18" s="1"/>
  <c r="Z33" i="18" a="1"/>
  <c r="Z33" i="18" s="1"/>
  <c r="Z12" i="18" a="1"/>
  <c r="Z12" i="18" s="1"/>
  <c r="Z99" i="18" a="1"/>
  <c r="Z99" i="18" s="1"/>
  <c r="Z62" i="18" a="1"/>
  <c r="Z62" i="18" s="1"/>
  <c r="Z20" i="18" a="1"/>
  <c r="Z20" i="18" s="1"/>
  <c r="Z95" i="18" a="1"/>
  <c r="Z95" i="18" s="1"/>
  <c r="Z66" i="18" a="1"/>
  <c r="Z66" i="18" s="1"/>
  <c r="Z17" i="18" a="1"/>
  <c r="Z17" i="18" s="1"/>
  <c r="Z105" i="18" a="1"/>
  <c r="Z105" i="18" s="1"/>
  <c r="Z31" i="18" a="1"/>
  <c r="Z31" i="18" s="1"/>
  <c r="Z103" i="18" a="1"/>
  <c r="Z103" i="18" s="1"/>
  <c r="Z96" i="18" a="1"/>
  <c r="Z96" i="18" s="1"/>
  <c r="Z94" i="18" a="1"/>
  <c r="Z94" i="18" s="1"/>
  <c r="Z22" i="18" a="1"/>
  <c r="Z22" i="18" s="1"/>
  <c r="Z35" i="18" a="1"/>
  <c r="Z35" i="18" s="1"/>
  <c r="Z108" i="18" a="1"/>
  <c r="Z108" i="18" s="1"/>
  <c r="Z107" i="18" a="1"/>
  <c r="Z107" i="18" s="1"/>
  <c r="Z80" i="18" a="1"/>
  <c r="Z80" i="18" s="1"/>
  <c r="Z37" i="18" a="1"/>
  <c r="Z37" i="18" s="1"/>
  <c r="Z40" i="18" s="1"/>
  <c r="Z10" i="18" a="1"/>
  <c r="Z10" i="18" s="1"/>
  <c r="K550" i="16"/>
  <c r="K391" i="18"/>
  <c r="K342" i="18"/>
  <c r="S170" i="18"/>
  <c r="S167" i="18"/>
  <c r="K339" i="18"/>
  <c r="Q168" i="18"/>
  <c r="Q171" i="18" s="1"/>
  <c r="K296" i="18"/>
  <c r="U45" i="18"/>
  <c r="K299" i="18" s="1"/>
  <c r="Y40" i="18"/>
  <c r="P173" i="18"/>
  <c r="N530" i="16"/>
  <c r="N532" i="16" s="1"/>
  <c r="N372" i="16" s="1"/>
  <c r="T555" i="17"/>
  <c r="T641" i="17" s="1"/>
  <c r="U555" i="17"/>
  <c r="U641" i="17" s="1"/>
  <c r="T671" i="17"/>
  <c r="U516" i="17"/>
  <c r="K370" i="16" s="1"/>
  <c r="K553" i="16" s="1"/>
  <c r="K368" i="16"/>
  <c r="T437" i="17"/>
  <c r="J291" i="16" s="1"/>
  <c r="J288" i="16"/>
  <c r="T553" i="17"/>
  <c r="J370" i="16"/>
  <c r="T480" i="17"/>
  <c r="J334" i="16" s="1"/>
  <c r="J319" i="16"/>
  <c r="U437" i="17"/>
  <c r="K291" i="16" s="1"/>
  <c r="K288" i="16"/>
  <c r="M511" i="16"/>
  <c r="M513" i="16" s="1"/>
  <c r="L361" i="16"/>
  <c r="M325" i="16"/>
  <c r="L487" i="16"/>
  <c r="L488" i="16" s="1"/>
  <c r="L489" i="16" s="1"/>
  <c r="J464" i="16"/>
  <c r="T666" i="17"/>
  <c r="T681" i="17" s="1"/>
  <c r="J205" i="16"/>
  <c r="U666" i="17"/>
  <c r="U681" i="17" s="1"/>
  <c r="K205" i="16"/>
  <c r="L292" i="16"/>
  <c r="L637" i="17"/>
  <c r="L644" i="17" s="1"/>
  <c r="M637" i="17"/>
  <c r="M644" i="17" s="1"/>
  <c r="T524" i="17"/>
  <c r="J553" i="17"/>
  <c r="K553" i="17"/>
  <c r="L554" i="17" s="1"/>
  <c r="L642" i="17" s="1"/>
  <c r="M680" i="17"/>
  <c r="K525" i="17"/>
  <c r="O553" i="17"/>
  <c r="O524" i="17"/>
  <c r="O525" i="17" s="1"/>
  <c r="Q524" i="17"/>
  <c r="Q525" i="17" s="1"/>
  <c r="Q553" i="17"/>
  <c r="S524" i="17"/>
  <c r="S525" i="17" s="1"/>
  <c r="S553" i="17"/>
  <c r="P682" i="17"/>
  <c r="K644" i="17"/>
  <c r="K639" i="17"/>
  <c r="L524" i="17"/>
  <c r="L525" i="17" s="1"/>
  <c r="S682" i="17"/>
  <c r="R682" i="17"/>
  <c r="P680" i="17"/>
  <c r="T606" i="17"/>
  <c r="M524" i="17"/>
  <c r="M525" i="17" s="1"/>
  <c r="M553" i="17"/>
  <c r="S680" i="17"/>
  <c r="Q682" i="17"/>
  <c r="J525" i="17"/>
  <c r="R672" i="17"/>
  <c r="R674" i="17" s="1"/>
  <c r="S637" i="17"/>
  <c r="Q637" i="17"/>
  <c r="P672" i="17"/>
  <c r="P674" i="17" s="1"/>
  <c r="P606" i="17"/>
  <c r="Q608" i="17" s="1"/>
  <c r="N637" i="17"/>
  <c r="M672" i="17"/>
  <c r="M674" i="17" s="1"/>
  <c r="R606" i="17"/>
  <c r="R608" i="17" s="1"/>
  <c r="N682" i="17"/>
  <c r="R578" i="17"/>
  <c r="S584" i="17"/>
  <c r="R524" i="17"/>
  <c r="R525" i="17" s="1"/>
  <c r="R553" i="17"/>
  <c r="R637" i="17"/>
  <c r="Q672" i="17"/>
  <c r="Q674" i="17" s="1"/>
  <c r="O680" i="17"/>
  <c r="Q680" i="17"/>
  <c r="P681" i="17"/>
  <c r="N606" i="17"/>
  <c r="N681" i="17"/>
  <c r="O672" i="17"/>
  <c r="O674" i="17" s="1"/>
  <c r="P637" i="17"/>
  <c r="P524" i="17"/>
  <c r="P525" i="17" s="1"/>
  <c r="P553" i="17"/>
  <c r="N524" i="17"/>
  <c r="N525" i="17" s="1"/>
  <c r="N553" i="17"/>
  <c r="M606" i="17"/>
  <c r="N680" i="17"/>
  <c r="O637" i="17"/>
  <c r="N672" i="17"/>
  <c r="N674" i="17" s="1"/>
  <c r="U637" i="17"/>
  <c r="L606" i="17"/>
  <c r="L608" i="17" s="1"/>
  <c r="O682" i="17"/>
  <c r="S606" i="17"/>
  <c r="O606" i="17"/>
  <c r="M682" i="17"/>
  <c r="L682" i="17"/>
  <c r="L674" i="17"/>
  <c r="S672" i="17"/>
  <c r="S674" i="17" s="1"/>
  <c r="T637" i="17"/>
  <c r="Q681" i="17"/>
  <c r="R680" i="17"/>
  <c r="L681" i="17"/>
  <c r="S361" i="17"/>
  <c r="T327" i="17"/>
  <c r="J180" i="16" s="1"/>
  <c r="S327" i="17"/>
  <c r="R327" i="17"/>
  <c r="Q327" i="17"/>
  <c r="P327" i="17"/>
  <c r="O327" i="17"/>
  <c r="N327" i="17"/>
  <c r="M327" i="17"/>
  <c r="L327" i="17"/>
  <c r="U327" i="17"/>
  <c r="K180" i="16" s="1"/>
  <c r="K492" i="16" s="1"/>
  <c r="K342" i="17"/>
  <c r="K569" i="17" s="1"/>
  <c r="K571" i="17" s="1"/>
  <c r="J342" i="17"/>
  <c r="T340" i="17"/>
  <c r="J193" i="16" s="1"/>
  <c r="S340" i="17"/>
  <c r="S342" i="17" s="1"/>
  <c r="S569" i="17" s="1"/>
  <c r="S571" i="17" s="1"/>
  <c r="R340" i="17"/>
  <c r="R342" i="17" s="1"/>
  <c r="R569" i="17" s="1"/>
  <c r="R571" i="17" s="1"/>
  <c r="Q340" i="17"/>
  <c r="Q342" i="17" s="1"/>
  <c r="Q569" i="17" s="1"/>
  <c r="Q571" i="17" s="1"/>
  <c r="P340" i="17"/>
  <c r="P342" i="17" s="1"/>
  <c r="P569" i="17" s="1"/>
  <c r="P571" i="17" s="1"/>
  <c r="O340" i="17"/>
  <c r="O342" i="17" s="1"/>
  <c r="O569" i="17" s="1"/>
  <c r="O571" i="17" s="1"/>
  <c r="N340" i="17"/>
  <c r="N342" i="17" s="1"/>
  <c r="N569" i="17" s="1"/>
  <c r="N571" i="17" s="1"/>
  <c r="M340" i="17"/>
  <c r="M342" i="17" s="1"/>
  <c r="M569" i="17" s="1"/>
  <c r="M571" i="17" s="1"/>
  <c r="L340" i="17"/>
  <c r="L342" i="17" s="1"/>
  <c r="L569" i="17" s="1"/>
  <c r="L571" i="17" s="1"/>
  <c r="U340" i="17"/>
  <c r="K193" i="16" s="1"/>
  <c r="T335" i="17"/>
  <c r="J188" i="16" s="1"/>
  <c r="J518" i="16" s="1"/>
  <c r="S335" i="17"/>
  <c r="S633" i="17" s="1"/>
  <c r="R335" i="17"/>
  <c r="R633" i="17" s="1"/>
  <c r="Q335" i="17"/>
  <c r="Q633" i="17" s="1"/>
  <c r="P335" i="17"/>
  <c r="P633" i="17" s="1"/>
  <c r="O335" i="17"/>
  <c r="O633" i="17" s="1"/>
  <c r="N335" i="17"/>
  <c r="N633" i="17" s="1"/>
  <c r="M335" i="17"/>
  <c r="M633" i="17" s="1"/>
  <c r="L335" i="17"/>
  <c r="L633" i="17" s="1"/>
  <c r="U335" i="17"/>
  <c r="K188" i="16" s="1"/>
  <c r="K518" i="16" s="1"/>
  <c r="T331" i="17"/>
  <c r="J184" i="16" s="1"/>
  <c r="S331" i="17"/>
  <c r="S547" i="17" s="1"/>
  <c r="S560" i="17" s="1"/>
  <c r="R331" i="17"/>
  <c r="R547" i="17" s="1"/>
  <c r="Q331" i="17"/>
  <c r="Q547" i="17" s="1"/>
  <c r="Q560" i="17" s="1"/>
  <c r="P331" i="17"/>
  <c r="P547" i="17" s="1"/>
  <c r="O331" i="17"/>
  <c r="O547" i="17" s="1"/>
  <c r="N331" i="17"/>
  <c r="N547" i="17" s="1"/>
  <c r="M331" i="17"/>
  <c r="M547" i="17" s="1"/>
  <c r="M560" i="17" s="1"/>
  <c r="L331" i="17"/>
  <c r="L547" i="17" s="1"/>
  <c r="L560" i="17" s="1"/>
  <c r="U331" i="17"/>
  <c r="K184" i="16" s="1"/>
  <c r="K325" i="17"/>
  <c r="J325" i="17"/>
  <c r="H323" i="17"/>
  <c r="U319" i="17"/>
  <c r="T319" i="17" s="1"/>
  <c r="S319" i="17" s="1"/>
  <c r="R319" i="17" s="1"/>
  <c r="Q319" i="17" s="1"/>
  <c r="P319" i="17" s="1"/>
  <c r="O319" i="17" s="1"/>
  <c r="N319" i="17" s="1"/>
  <c r="M319" i="17" s="1"/>
  <c r="L319" i="17" s="1"/>
  <c r="T391" i="17" s="1"/>
  <c r="T392" i="17" s="1"/>
  <c r="T232" i="17"/>
  <c r="T233" i="17" s="1"/>
  <c r="L153" i="16" s="1"/>
  <c r="S232" i="17"/>
  <c r="S233" i="17" s="1"/>
  <c r="K153" i="16" s="1"/>
  <c r="R232" i="17"/>
  <c r="R233" i="17" s="1"/>
  <c r="J153" i="16" s="1"/>
  <c r="Q232" i="17"/>
  <c r="Q233" i="17" s="1"/>
  <c r="P232" i="17"/>
  <c r="P233" i="17" s="1"/>
  <c r="O232" i="17"/>
  <c r="O233" i="17" s="1"/>
  <c r="N232" i="17"/>
  <c r="N233" i="17" s="1"/>
  <c r="M232" i="17"/>
  <c r="L232" i="17"/>
  <c r="U232" i="17"/>
  <c r="U233" i="17" s="1"/>
  <c r="M153" i="16" s="1"/>
  <c r="D240" i="17"/>
  <c r="D258" i="17" s="1"/>
  <c r="D239" i="17"/>
  <c r="D257" i="17" s="1"/>
  <c r="D238" i="17"/>
  <c r="D256" i="17" s="1"/>
  <c r="D237" i="17"/>
  <c r="D255" i="17" s="1"/>
  <c r="D236" i="17"/>
  <c r="D254" i="17" s="1"/>
  <c r="D232" i="17"/>
  <c r="D250" i="17" s="1"/>
  <c r="D231" i="17"/>
  <c r="D249" i="17" s="1"/>
  <c r="D230" i="17"/>
  <c r="D248" i="17" s="1"/>
  <c r="D229" i="17"/>
  <c r="D247" i="17" s="1"/>
  <c r="D228" i="17"/>
  <c r="D246" i="17" s="1"/>
  <c r="K241" i="17"/>
  <c r="J241" i="17"/>
  <c r="U241" i="17"/>
  <c r="M154" i="16" s="1"/>
  <c r="T241" i="17"/>
  <c r="L154" i="16" s="1"/>
  <c r="S241" i="17"/>
  <c r="K154" i="16" s="1"/>
  <c r="R241" i="17"/>
  <c r="J154" i="16" s="1"/>
  <c r="Q241" i="17"/>
  <c r="P241" i="17"/>
  <c r="O241" i="17"/>
  <c r="N241" i="17"/>
  <c r="M241" i="17"/>
  <c r="L241" i="17"/>
  <c r="K233" i="17"/>
  <c r="J233" i="17"/>
  <c r="U221" i="17"/>
  <c r="T221" i="17" s="1"/>
  <c r="S221" i="17" s="1"/>
  <c r="R221" i="17" s="1"/>
  <c r="Q221" i="17" s="1"/>
  <c r="P221" i="17" s="1"/>
  <c r="O221" i="17" s="1"/>
  <c r="N221" i="17" s="1"/>
  <c r="M221" i="17" s="1"/>
  <c r="L221" i="17" s="1"/>
  <c r="K221" i="17" s="1"/>
  <c r="J221" i="17" s="1"/>
  <c r="U310" i="17"/>
  <c r="T310" i="17"/>
  <c r="S310" i="17"/>
  <c r="R310" i="17"/>
  <c r="Q310" i="17"/>
  <c r="P310" i="17"/>
  <c r="O310" i="17"/>
  <c r="N310" i="17"/>
  <c r="M310" i="17"/>
  <c r="L310" i="17"/>
  <c r="U309" i="17"/>
  <c r="T309" i="17"/>
  <c r="S309" i="17"/>
  <c r="R309" i="17"/>
  <c r="Q309" i="17"/>
  <c r="P309" i="17"/>
  <c r="O309" i="17"/>
  <c r="N309" i="17"/>
  <c r="M309" i="17"/>
  <c r="L309" i="17"/>
  <c r="D312" i="17"/>
  <c r="D311" i="17"/>
  <c r="D310" i="17"/>
  <c r="D309" i="17"/>
  <c r="D308" i="17"/>
  <c r="D302" i="17"/>
  <c r="D303" i="17"/>
  <c r="D304" i="17"/>
  <c r="D305" i="17"/>
  <c r="D301" i="17"/>
  <c r="T193" i="17"/>
  <c r="S193" i="17"/>
  <c r="R193" i="17"/>
  <c r="Q193" i="17"/>
  <c r="P193" i="17"/>
  <c r="O193" i="17"/>
  <c r="N193" i="17"/>
  <c r="M193" i="17"/>
  <c r="L193" i="17"/>
  <c r="U193" i="17"/>
  <c r="T192" i="17"/>
  <c r="S192" i="17"/>
  <c r="R192" i="17"/>
  <c r="Q192" i="17"/>
  <c r="P192" i="17"/>
  <c r="O192" i="17"/>
  <c r="N192" i="17"/>
  <c r="M192" i="17"/>
  <c r="L192" i="17"/>
  <c r="U192" i="17"/>
  <c r="T183" i="17"/>
  <c r="J92" i="16" s="1"/>
  <c r="S183" i="17"/>
  <c r="R183" i="17"/>
  <c r="Q183" i="17"/>
  <c r="P183" i="17"/>
  <c r="O183" i="17"/>
  <c r="N183" i="17"/>
  <c r="M183" i="17"/>
  <c r="L183" i="17"/>
  <c r="U183" i="17"/>
  <c r="K92" i="16" s="1"/>
  <c r="T189" i="17"/>
  <c r="S189" i="17"/>
  <c r="R189" i="17"/>
  <c r="Q189" i="17"/>
  <c r="P189" i="17"/>
  <c r="O189" i="17"/>
  <c r="N189" i="17"/>
  <c r="M189" i="17"/>
  <c r="L189" i="17"/>
  <c r="U189" i="17"/>
  <c r="T182" i="17"/>
  <c r="J91" i="16" s="1"/>
  <c r="S182" i="17"/>
  <c r="R182" i="17"/>
  <c r="Q182" i="17"/>
  <c r="P182" i="17"/>
  <c r="O182" i="17"/>
  <c r="N182" i="17"/>
  <c r="M182" i="17"/>
  <c r="L182" i="17"/>
  <c r="U182" i="17"/>
  <c r="K91" i="16" s="1"/>
  <c r="T181" i="17"/>
  <c r="J90" i="16" s="1"/>
  <c r="S181" i="17"/>
  <c r="R181" i="17"/>
  <c r="Q181" i="17"/>
  <c r="P181" i="17"/>
  <c r="O181" i="17"/>
  <c r="N181" i="17"/>
  <c r="M181" i="17"/>
  <c r="L181" i="17"/>
  <c r="U181" i="17"/>
  <c r="K90" i="16" s="1"/>
  <c r="D211" i="17"/>
  <c r="D210" i="17"/>
  <c r="D209" i="17"/>
  <c r="D208" i="17"/>
  <c r="D207" i="17"/>
  <c r="D203" i="17"/>
  <c r="D202" i="17"/>
  <c r="D201" i="17"/>
  <c r="D200" i="17"/>
  <c r="D199" i="17"/>
  <c r="J194" i="17"/>
  <c r="J290" i="17" s="1"/>
  <c r="K194" i="17"/>
  <c r="K290" i="17" s="1"/>
  <c r="K186" i="17"/>
  <c r="J186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R168" i="18" l="1"/>
  <c r="J341" i="18" s="1"/>
  <c r="S168" i="18"/>
  <c r="K341" i="18" s="1"/>
  <c r="T168" i="18"/>
  <c r="L341" i="18" s="1"/>
  <c r="L311" i="17"/>
  <c r="U311" i="17"/>
  <c r="K101" i="16"/>
  <c r="J553" i="16"/>
  <c r="K554" i="16" s="1"/>
  <c r="K557" i="16" s="1"/>
  <c r="M311" i="17"/>
  <c r="U312" i="17"/>
  <c r="K102" i="16"/>
  <c r="L312" i="17"/>
  <c r="J102" i="16"/>
  <c r="U682" i="17"/>
  <c r="K392" i="18" s="1"/>
  <c r="J101" i="16"/>
  <c r="K98" i="16"/>
  <c r="M312" i="17"/>
  <c r="J98" i="16"/>
  <c r="J550" i="16"/>
  <c r="K551" i="16" s="1"/>
  <c r="U680" i="17"/>
  <c r="U674" i="17"/>
  <c r="AE168" i="18"/>
  <c r="O530" i="16"/>
  <c r="O532" i="16" s="1"/>
  <c r="O372" i="16" s="1"/>
  <c r="M171" i="18"/>
  <c r="S171" i="18"/>
  <c r="K344" i="18" s="1"/>
  <c r="S391" i="17"/>
  <c r="S392" i="17" s="1"/>
  <c r="S394" i="17"/>
  <c r="T394" i="17"/>
  <c r="L249" i="16" s="1"/>
  <c r="AF168" i="18"/>
  <c r="U173" i="18"/>
  <c r="M346" i="18" s="1"/>
  <c r="M343" i="18"/>
  <c r="J298" i="18"/>
  <c r="O172" i="18"/>
  <c r="O173" i="18" s="1"/>
  <c r="N172" i="18"/>
  <c r="N173" i="18" s="1"/>
  <c r="M172" i="18"/>
  <c r="M173" i="18" s="1"/>
  <c r="L172" i="18"/>
  <c r="L173" i="18" s="1"/>
  <c r="L343" i="18"/>
  <c r="T173" i="18"/>
  <c r="L346" i="18" s="1"/>
  <c r="AA101" i="18" a="1"/>
  <c r="AA101" i="18" s="1"/>
  <c r="AA100" i="18" a="1"/>
  <c r="AA100" i="18" s="1"/>
  <c r="AA15" i="18" a="1"/>
  <c r="AA15" i="18" s="1"/>
  <c r="AA64" i="18" a="1"/>
  <c r="AA64" i="18" s="1"/>
  <c r="AA18" i="18" a="1"/>
  <c r="AA18" i="18" s="1"/>
  <c r="AA57" i="18" a="1"/>
  <c r="AA57" i="18" s="1"/>
  <c r="AA58" i="18" s="1"/>
  <c r="AA110" i="18" a="1"/>
  <c r="AA110" i="18" s="1"/>
  <c r="AA97" i="18" a="1"/>
  <c r="AA97" i="18" s="1"/>
  <c r="AA81" i="18" a="1"/>
  <c r="AA81" i="18" s="1"/>
  <c r="AA31" i="18" a="1"/>
  <c r="AA31" i="18" s="1"/>
  <c r="AA30" i="18" a="1"/>
  <c r="AA30" i="18" s="1"/>
  <c r="AA10" i="18" a="1"/>
  <c r="AA10" i="18" s="1"/>
  <c r="AA33" i="18" a="1"/>
  <c r="AA33" i="18" s="1"/>
  <c r="AA106" i="18" a="1"/>
  <c r="AA106" i="18" s="1"/>
  <c r="AA99" i="18" a="1"/>
  <c r="AA99" i="18" s="1"/>
  <c r="AA62" i="18" a="1"/>
  <c r="AA62" i="18" s="1"/>
  <c r="AA32" i="18" a="1"/>
  <c r="AA32" i="18" s="1"/>
  <c r="AA20" i="18" a="1"/>
  <c r="AA20" i="18" s="1"/>
  <c r="AA12" i="18" a="1"/>
  <c r="AA12" i="18" s="1"/>
  <c r="AA108" i="18" a="1"/>
  <c r="AA108" i="18" s="1"/>
  <c r="AA22" i="18" a="1"/>
  <c r="AA22" i="18" s="1"/>
  <c r="AA104" i="18" a="1"/>
  <c r="AA104" i="18" s="1"/>
  <c r="AA107" i="18" a="1"/>
  <c r="AA107" i="18" s="1"/>
  <c r="AA67" i="18" a="1"/>
  <c r="AA67" i="18" s="1"/>
  <c r="AA17" i="18" a="1"/>
  <c r="AA17" i="18" s="1"/>
  <c r="AA103" i="18" a="1"/>
  <c r="AA103" i="18" s="1"/>
  <c r="AA93" i="18" a="1"/>
  <c r="AA93" i="18" s="1"/>
  <c r="AA79" i="18" a="1"/>
  <c r="AA79" i="18" s="1"/>
  <c r="AA35" i="18" a="1"/>
  <c r="AA35" i="18" s="1"/>
  <c r="AA11" i="18" a="1"/>
  <c r="AA11" i="18" s="1"/>
  <c r="AA102" i="18" a="1"/>
  <c r="AA102" i="18" s="1"/>
  <c r="AA96" i="18" a="1"/>
  <c r="AA96" i="18" s="1"/>
  <c r="AA94" i="18" a="1"/>
  <c r="AA94" i="18" s="1"/>
  <c r="AA27" i="18" a="1"/>
  <c r="AA27" i="18" s="1"/>
  <c r="AA34" i="18" a="1"/>
  <c r="AA34" i="18" s="1"/>
  <c r="AA98" i="18" a="1"/>
  <c r="AA98" i="18" s="1"/>
  <c r="AA80" i="18" a="1"/>
  <c r="AA80" i="18" s="1"/>
  <c r="AA109" i="18" a="1"/>
  <c r="AA109" i="18" s="1"/>
  <c r="AA95" i="18" a="1"/>
  <c r="AA95" i="18" s="1"/>
  <c r="AA66" i="18" a="1"/>
  <c r="AA66" i="18" s="1"/>
  <c r="AA37" i="18" a="1"/>
  <c r="AA37" i="18" s="1"/>
  <c r="AA40" i="18" s="1"/>
  <c r="AB6" i="18"/>
  <c r="AA105" i="18" a="1"/>
  <c r="AA105" i="18" s="1"/>
  <c r="AA59" i="18" a="1"/>
  <c r="AA59" i="18" s="1"/>
  <c r="AA60" i="18" s="1"/>
  <c r="K340" i="18"/>
  <c r="Y168" i="18"/>
  <c r="M340" i="18"/>
  <c r="AA168" i="18"/>
  <c r="U553" i="17"/>
  <c r="U554" i="17" s="1"/>
  <c r="U642" i="17" s="1"/>
  <c r="U645" i="17" s="1"/>
  <c r="AC168" i="18"/>
  <c r="U391" i="17"/>
  <c r="U392" i="17" s="1"/>
  <c r="U394" i="17"/>
  <c r="M249" i="16" s="1"/>
  <c r="U524" i="17"/>
  <c r="K378" i="16" s="1"/>
  <c r="K343" i="18"/>
  <c r="S173" i="18"/>
  <c r="K346" i="18" s="1"/>
  <c r="AB168" i="18"/>
  <c r="O171" i="18"/>
  <c r="J340" i="18"/>
  <c r="U168" i="18"/>
  <c r="AG168" i="18"/>
  <c r="N171" i="18"/>
  <c r="R171" i="18"/>
  <c r="J344" i="18" s="1"/>
  <c r="AD168" i="18"/>
  <c r="AH168" i="18"/>
  <c r="R173" i="18"/>
  <c r="J346" i="18" s="1"/>
  <c r="J343" i="18"/>
  <c r="T45" i="18"/>
  <c r="J299" i="18" s="1"/>
  <c r="J296" i="18"/>
  <c r="L340" i="18"/>
  <c r="Z168" i="18"/>
  <c r="T680" i="17"/>
  <c r="T525" i="17"/>
  <c r="J378" i="16"/>
  <c r="J379" i="16" s="1"/>
  <c r="T674" i="17"/>
  <c r="T682" i="17"/>
  <c r="J392" i="18" s="1"/>
  <c r="L392" i="18" s="1"/>
  <c r="M392" i="18" s="1"/>
  <c r="N392" i="18" s="1"/>
  <c r="T554" i="17"/>
  <c r="T642" i="17" s="1"/>
  <c r="T645" i="17" s="1"/>
  <c r="N511" i="16"/>
  <c r="N513" i="16" s="1"/>
  <c r="M361" i="16"/>
  <c r="K155" i="16"/>
  <c r="K222" i="16" s="1"/>
  <c r="N325" i="16"/>
  <c r="M487" i="16"/>
  <c r="J467" i="16"/>
  <c r="T547" i="17"/>
  <c r="T560" i="17" s="1"/>
  <c r="U633" i="17"/>
  <c r="U639" i="17" s="1"/>
  <c r="T633" i="17"/>
  <c r="T639" i="17" s="1"/>
  <c r="U342" i="17"/>
  <c r="T342" i="17"/>
  <c r="U547" i="17"/>
  <c r="U560" i="17" s="1"/>
  <c r="J155" i="16"/>
  <c r="J222" i="16" s="1"/>
  <c r="M155" i="16"/>
  <c r="M222" i="16" s="1"/>
  <c r="AF232" i="17"/>
  <c r="AG232" i="17"/>
  <c r="AE232" i="17"/>
  <c r="AE233" i="17" s="1"/>
  <c r="Z232" i="17"/>
  <c r="Z233" i="17" s="1"/>
  <c r="AH232" i="17"/>
  <c r="AH233" i="17" s="1"/>
  <c r="AA232" i="17"/>
  <c r="AA233" i="17" s="1"/>
  <c r="AB232" i="17"/>
  <c r="AB233" i="17" s="1"/>
  <c r="AC232" i="17"/>
  <c r="AC233" i="17" s="1"/>
  <c r="AD232" i="17"/>
  <c r="AD233" i="17" s="1"/>
  <c r="Y232" i="17"/>
  <c r="L155" i="16"/>
  <c r="L222" i="16" s="1"/>
  <c r="L639" i="17"/>
  <c r="L645" i="17"/>
  <c r="N639" i="17"/>
  <c r="O639" i="17"/>
  <c r="M639" i="17"/>
  <c r="S639" i="17"/>
  <c r="Q554" i="17"/>
  <c r="Q642" i="17" s="1"/>
  <c r="Q645" i="17" s="1"/>
  <c r="O608" i="17"/>
  <c r="K554" i="17"/>
  <c r="K561" i="17" s="1"/>
  <c r="O554" i="17"/>
  <c r="O642" i="17" s="1"/>
  <c r="O645" i="17" s="1"/>
  <c r="Q639" i="17"/>
  <c r="R639" i="17"/>
  <c r="S608" i="17"/>
  <c r="R554" i="17"/>
  <c r="R642" i="17" s="1"/>
  <c r="R645" i="17" s="1"/>
  <c r="N554" i="17"/>
  <c r="N642" i="17" s="1"/>
  <c r="N645" i="17" s="1"/>
  <c r="M550" i="17"/>
  <c r="O560" i="17"/>
  <c r="O550" i="17"/>
  <c r="O621" i="17"/>
  <c r="O629" i="17" s="1"/>
  <c r="O539" i="17"/>
  <c r="P560" i="17"/>
  <c r="P550" i="17"/>
  <c r="P621" i="17"/>
  <c r="P629" i="17" s="1"/>
  <c r="P539" i="17"/>
  <c r="N644" i="17"/>
  <c r="S550" i="17"/>
  <c r="K675" i="17"/>
  <c r="K683" i="17" s="1"/>
  <c r="K587" i="17"/>
  <c r="R560" i="17"/>
  <c r="R550" i="17"/>
  <c r="P639" i="17"/>
  <c r="R621" i="17"/>
  <c r="R629" i="17" s="1"/>
  <c r="R539" i="17"/>
  <c r="T644" i="17"/>
  <c r="Q578" i="17"/>
  <c r="R584" i="17"/>
  <c r="T608" i="17"/>
  <c r="N560" i="17"/>
  <c r="N550" i="17"/>
  <c r="N621" i="17"/>
  <c r="N629" i="17" s="1"/>
  <c r="N539" i="17"/>
  <c r="J675" i="17"/>
  <c r="J683" i="17" s="1"/>
  <c r="J587" i="17"/>
  <c r="Q621" i="17"/>
  <c r="Q629" i="17" s="1"/>
  <c r="Q539" i="17"/>
  <c r="M608" i="17"/>
  <c r="P644" i="17"/>
  <c r="Q550" i="17"/>
  <c r="P608" i="17"/>
  <c r="U621" i="17"/>
  <c r="U629" i="17" s="1"/>
  <c r="U539" i="17"/>
  <c r="S539" i="17"/>
  <c r="S621" i="17"/>
  <c r="S629" i="17" s="1"/>
  <c r="U644" i="17"/>
  <c r="M554" i="17"/>
  <c r="M642" i="17" s="1"/>
  <c r="M645" i="17" s="1"/>
  <c r="Q644" i="17"/>
  <c r="P554" i="17"/>
  <c r="P642" i="17" s="1"/>
  <c r="P645" i="17" s="1"/>
  <c r="L621" i="17"/>
  <c r="L629" i="17" s="1"/>
  <c r="L539" i="17"/>
  <c r="T621" i="17"/>
  <c r="T629" i="17" s="1"/>
  <c r="T539" i="17"/>
  <c r="R644" i="17"/>
  <c r="S644" i="17"/>
  <c r="M621" i="17"/>
  <c r="M629" i="17" s="1"/>
  <c r="M539" i="17"/>
  <c r="O644" i="17"/>
  <c r="N608" i="17"/>
  <c r="S554" i="17"/>
  <c r="S642" i="17" s="1"/>
  <c r="S645" i="17" s="1"/>
  <c r="L550" i="17"/>
  <c r="U308" i="17"/>
  <c r="R361" i="17"/>
  <c r="K249" i="16"/>
  <c r="S267" i="17"/>
  <c r="L233" i="17"/>
  <c r="L242" i="17" s="1"/>
  <c r="L368" i="17" s="1"/>
  <c r="K319" i="17"/>
  <c r="J319" i="17" s="1"/>
  <c r="R267" i="17"/>
  <c r="N242" i="17"/>
  <c r="N368" i="17" s="1"/>
  <c r="U267" i="17"/>
  <c r="T267" i="17"/>
  <c r="T194" i="17"/>
  <c r="J103" i="16" s="1"/>
  <c r="N312" i="17"/>
  <c r="T312" i="17"/>
  <c r="AB267" i="17"/>
  <c r="N186" i="17"/>
  <c r="P194" i="17"/>
  <c r="P290" i="17" s="1"/>
  <c r="N311" i="17"/>
  <c r="L194" i="17"/>
  <c r="L290" i="17" s="1"/>
  <c r="L293" i="17" s="1"/>
  <c r="AD267" i="17"/>
  <c r="J242" i="17"/>
  <c r="J368" i="17" s="1"/>
  <c r="J370" i="17" s="1"/>
  <c r="AE267" i="17"/>
  <c r="R194" i="17"/>
  <c r="R290" i="17" s="1"/>
  <c r="K242" i="17"/>
  <c r="K368" i="17" s="1"/>
  <c r="K370" i="17" s="1"/>
  <c r="Z267" i="17"/>
  <c r="P308" i="17"/>
  <c r="Q311" i="17"/>
  <c r="O312" i="17"/>
  <c r="AA267" i="17"/>
  <c r="P242" i="17"/>
  <c r="P368" i="17" s="1"/>
  <c r="AC267" i="17"/>
  <c r="AF267" i="17"/>
  <c r="O242" i="17"/>
  <c r="O368" i="17" s="1"/>
  <c r="Y267" i="17"/>
  <c r="P312" i="17"/>
  <c r="Q242" i="17"/>
  <c r="Q368" i="17" s="1"/>
  <c r="S311" i="17"/>
  <c r="Q312" i="17"/>
  <c r="R242" i="17"/>
  <c r="R368" i="17" s="1"/>
  <c r="L186" i="17"/>
  <c r="T186" i="17"/>
  <c r="J95" i="16" s="1"/>
  <c r="T311" i="17"/>
  <c r="R312" i="17"/>
  <c r="S242" i="17"/>
  <c r="S368" i="17" s="1"/>
  <c r="M233" i="17"/>
  <c r="M242" i="17" s="1"/>
  <c r="M368" i="17" s="1"/>
  <c r="T242" i="17"/>
  <c r="T368" i="17" s="1"/>
  <c r="U242" i="17"/>
  <c r="U368" i="17" s="1"/>
  <c r="S308" i="17"/>
  <c r="O311" i="17"/>
  <c r="Q308" i="17"/>
  <c r="R311" i="17"/>
  <c r="N308" i="17"/>
  <c r="S312" i="17"/>
  <c r="O186" i="17"/>
  <c r="M194" i="17"/>
  <c r="M290" i="17" s="1"/>
  <c r="M293" i="17" s="1"/>
  <c r="R308" i="17"/>
  <c r="O194" i="17"/>
  <c r="L308" i="17"/>
  <c r="T308" i="17"/>
  <c r="M308" i="17"/>
  <c r="P311" i="17"/>
  <c r="O308" i="17"/>
  <c r="R186" i="17"/>
  <c r="S186" i="17"/>
  <c r="P186" i="17"/>
  <c r="N194" i="17"/>
  <c r="N290" i="17" s="1"/>
  <c r="Q194" i="17"/>
  <c r="Q290" i="17" s="1"/>
  <c r="S194" i="17"/>
  <c r="S290" i="17" s="1"/>
  <c r="U194" i="17"/>
  <c r="Q186" i="17"/>
  <c r="M186" i="17"/>
  <c r="U186" i="17"/>
  <c r="K95" i="16" s="1"/>
  <c r="J195" i="17"/>
  <c r="K19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U24" i="17"/>
  <c r="T24" i="17"/>
  <c r="S24" i="17"/>
  <c r="R24" i="17"/>
  <c r="Q24" i="17"/>
  <c r="P24" i="17"/>
  <c r="O24" i="17"/>
  <c r="N24" i="17"/>
  <c r="M24" i="17"/>
  <c r="L24" i="17"/>
  <c r="J24" i="17"/>
  <c r="K24" i="17"/>
  <c r="U174" i="17"/>
  <c r="T174" i="17" s="1"/>
  <c r="S174" i="17" s="1"/>
  <c r="R174" i="17" s="1"/>
  <c r="Q174" i="17" s="1"/>
  <c r="P174" i="17" s="1"/>
  <c r="O174" i="17" s="1"/>
  <c r="N174" i="17" s="1"/>
  <c r="M174" i="17" s="1"/>
  <c r="L174" i="17" s="1"/>
  <c r="K174" i="17" s="1"/>
  <c r="J174" i="17" s="1"/>
  <c r="K225" i="17"/>
  <c r="K365" i="17" s="1"/>
  <c r="J225" i="17"/>
  <c r="K11" i="17"/>
  <c r="H124" i="17"/>
  <c r="T94" i="17"/>
  <c r="S94" i="17"/>
  <c r="R94" i="17"/>
  <c r="J48" i="16" s="1"/>
  <c r="Q94" i="17"/>
  <c r="Q367" i="17" s="1"/>
  <c r="P94" i="17"/>
  <c r="P367" i="17" s="1"/>
  <c r="O94" i="17"/>
  <c r="O367" i="17" s="1"/>
  <c r="N94" i="17"/>
  <c r="N367" i="17" s="1"/>
  <c r="M94" i="17"/>
  <c r="M367" i="17" s="1"/>
  <c r="L94" i="17"/>
  <c r="U94" i="17"/>
  <c r="D118" i="17"/>
  <c r="D117" i="17"/>
  <c r="D116" i="17"/>
  <c r="D115" i="17"/>
  <c r="D114" i="17"/>
  <c r="D113" i="17"/>
  <c r="D112" i="17"/>
  <c r="D111" i="17"/>
  <c r="D107" i="17"/>
  <c r="D106" i="17"/>
  <c r="D105" i="17"/>
  <c r="D104" i="17"/>
  <c r="D103" i="17"/>
  <c r="D102" i="17"/>
  <c r="D101" i="17"/>
  <c r="D100" i="17"/>
  <c r="D99" i="17"/>
  <c r="D98" i="17"/>
  <c r="U90" i="17"/>
  <c r="T90" i="17" s="1"/>
  <c r="S90" i="17" s="1"/>
  <c r="R90" i="17" s="1"/>
  <c r="Q90" i="17" s="1"/>
  <c r="P90" i="17" s="1"/>
  <c r="O90" i="17" s="1"/>
  <c r="N90" i="17" s="1"/>
  <c r="M90" i="17" s="1"/>
  <c r="L90" i="17" s="1"/>
  <c r="K90" i="17" s="1"/>
  <c r="J90" i="17" s="1"/>
  <c r="K178" i="17"/>
  <c r="K323" i="17" s="1"/>
  <c r="J178" i="17"/>
  <c r="J323" i="17" s="1"/>
  <c r="C37" i="17"/>
  <c r="H37" i="17"/>
  <c r="T10" i="17"/>
  <c r="S10" i="17"/>
  <c r="R10" i="17"/>
  <c r="R538" i="17" s="1"/>
  <c r="Q10" i="17"/>
  <c r="Q538" i="17" s="1"/>
  <c r="P10" i="17"/>
  <c r="P538" i="17" s="1"/>
  <c r="O10" i="17"/>
  <c r="O538" i="17" s="1"/>
  <c r="N10" i="17"/>
  <c r="N538" i="17" s="1"/>
  <c r="M10" i="17"/>
  <c r="M538" i="17" s="1"/>
  <c r="L10" i="17"/>
  <c r="L538" i="17" s="1"/>
  <c r="U10" i="17"/>
  <c r="M195" i="17" l="1"/>
  <c r="K374" i="17"/>
  <c r="K371" i="17"/>
  <c r="K372" i="17"/>
  <c r="J374" i="17"/>
  <c r="J371" i="17"/>
  <c r="J372" i="17"/>
  <c r="T171" i="18"/>
  <c r="L344" i="18" s="1"/>
  <c r="K560" i="16"/>
  <c r="K556" i="16"/>
  <c r="K246" i="16"/>
  <c r="U290" i="17"/>
  <c r="K103" i="16"/>
  <c r="T550" i="17"/>
  <c r="P530" i="16"/>
  <c r="P532" i="16" s="1"/>
  <c r="Q530" i="16" s="1"/>
  <c r="Q532" i="16" s="1"/>
  <c r="U550" i="17"/>
  <c r="AB109" i="18" a="1"/>
  <c r="AB109" i="18" s="1"/>
  <c r="AB93" i="18" a="1"/>
  <c r="AB93" i="18" s="1"/>
  <c r="AB64" i="18" a="1"/>
  <c r="AB64" i="18" s="1"/>
  <c r="AB30" i="18" a="1"/>
  <c r="AB30" i="18" s="1"/>
  <c r="AB22" i="18" a="1"/>
  <c r="AB22" i="18" s="1"/>
  <c r="AB104" i="18" a="1"/>
  <c r="AB104" i="18" s="1"/>
  <c r="AB107" i="18" a="1"/>
  <c r="AB107" i="18" s="1"/>
  <c r="AB99" i="18" a="1"/>
  <c r="AB99" i="18" s="1"/>
  <c r="AB79" i="18" a="1"/>
  <c r="AB79" i="18" s="1"/>
  <c r="AB34" i="18" a="1"/>
  <c r="AB34" i="18" s="1"/>
  <c r="AB18" i="18" a="1"/>
  <c r="AB18" i="18" s="1"/>
  <c r="AB15" i="18" a="1"/>
  <c r="AB15" i="18" s="1"/>
  <c r="AB12" i="18" a="1"/>
  <c r="AB12" i="18" s="1"/>
  <c r="AB105" i="18" a="1"/>
  <c r="AB105" i="18" s="1"/>
  <c r="AC6" i="18"/>
  <c r="AB59" i="18" a="1"/>
  <c r="AB59" i="18" s="1"/>
  <c r="AB60" i="18" s="1"/>
  <c r="AB96" i="18" a="1"/>
  <c r="AB96" i="18" s="1"/>
  <c r="AB108" i="18" a="1"/>
  <c r="AB108" i="18" s="1"/>
  <c r="AB81" i="18" a="1"/>
  <c r="AB81" i="18" s="1"/>
  <c r="AB37" i="18" a="1"/>
  <c r="AB37" i="18" s="1"/>
  <c r="AB40" i="18" s="1"/>
  <c r="AB32" i="18" a="1"/>
  <c r="AB32" i="18" s="1"/>
  <c r="AB98" i="18" a="1"/>
  <c r="AB98" i="18" s="1"/>
  <c r="AB102" i="18" a="1"/>
  <c r="AB102" i="18" s="1"/>
  <c r="AB17" i="18" a="1"/>
  <c r="AB17" i="18" s="1"/>
  <c r="AB101" i="18" a="1"/>
  <c r="AB101" i="18" s="1"/>
  <c r="AB100" i="18" a="1"/>
  <c r="AB100" i="18" s="1"/>
  <c r="AB62" i="18" a="1"/>
  <c r="AB62" i="18" s="1"/>
  <c r="AB10" i="18" a="1"/>
  <c r="AB10" i="18" s="1"/>
  <c r="AB31" i="18" a="1"/>
  <c r="AB31" i="18" s="1"/>
  <c r="AB110" i="18" a="1"/>
  <c r="AB110" i="18" s="1"/>
  <c r="AB97" i="18" a="1"/>
  <c r="AB97" i="18" s="1"/>
  <c r="AB94" i="18" a="1"/>
  <c r="AB94" i="18" s="1"/>
  <c r="AB33" i="18" a="1"/>
  <c r="AB33" i="18" s="1"/>
  <c r="AB106" i="18" a="1"/>
  <c r="AB106" i="18" s="1"/>
  <c r="AB66" i="18" a="1"/>
  <c r="AB66" i="18" s="1"/>
  <c r="AB20" i="18" a="1"/>
  <c r="AB20" i="18" s="1"/>
  <c r="AB67" i="18" a="1"/>
  <c r="AB67" i="18" s="1"/>
  <c r="AB95" i="18" a="1"/>
  <c r="AB95" i="18" s="1"/>
  <c r="AB103" i="18" a="1"/>
  <c r="AB103" i="18" s="1"/>
  <c r="AB80" i="18" a="1"/>
  <c r="AB80" i="18" s="1"/>
  <c r="AB11" i="18" a="1"/>
  <c r="AB11" i="18" s="1"/>
  <c r="AB35" i="18" a="1"/>
  <c r="AB35" i="18" s="1"/>
  <c r="AB57" i="18" a="1"/>
  <c r="AB57" i="18" s="1"/>
  <c r="AB58" i="18" s="1"/>
  <c r="AB27" i="18" a="1"/>
  <c r="AB27" i="18" s="1"/>
  <c r="M341" i="18"/>
  <c r="U171" i="18"/>
  <c r="AF169" i="18" s="1"/>
  <c r="R394" i="17"/>
  <c r="J249" i="16" s="1"/>
  <c r="R391" i="17"/>
  <c r="K37" i="15"/>
  <c r="L515" i="16" s="1"/>
  <c r="L516" i="16" s="1"/>
  <c r="AC37" i="15"/>
  <c r="AC36" i="15"/>
  <c r="U14" i="15"/>
  <c r="AC14" i="15"/>
  <c r="K35" i="15"/>
  <c r="S491" i="16" s="1"/>
  <c r="AC35" i="15"/>
  <c r="T569" i="17"/>
  <c r="T571" i="17" s="1"/>
  <c r="J195" i="16"/>
  <c r="U569" i="17"/>
  <c r="U571" i="17" s="1"/>
  <c r="K195" i="16"/>
  <c r="O511" i="16"/>
  <c r="O513" i="16" s="1"/>
  <c r="N361" i="16"/>
  <c r="O325" i="16"/>
  <c r="N487" i="16"/>
  <c r="AF233" i="17"/>
  <c r="AF242" i="17" s="1"/>
  <c r="AF368" i="17" s="1"/>
  <c r="T395" i="17"/>
  <c r="L250" i="16" s="1"/>
  <c r="L246" i="16"/>
  <c r="U42" i="15"/>
  <c r="K534" i="16" s="1"/>
  <c r="M246" i="16"/>
  <c r="C225" i="17"/>
  <c r="C178" i="17"/>
  <c r="C121" i="17"/>
  <c r="C323" i="17"/>
  <c r="C365" i="17"/>
  <c r="U538" i="17"/>
  <c r="T558" i="17" s="1"/>
  <c r="K23" i="16"/>
  <c r="K176" i="16" s="1"/>
  <c r="T538" i="17"/>
  <c r="T559" i="17" s="1"/>
  <c r="J23" i="16"/>
  <c r="J176" i="16" s="1"/>
  <c r="J555" i="16" s="1"/>
  <c r="S367" i="17"/>
  <c r="S370" i="17" s="1"/>
  <c r="K48" i="16"/>
  <c r="K220" i="16" s="1"/>
  <c r="K225" i="16" s="1"/>
  <c r="U367" i="17"/>
  <c r="U370" i="17" s="1"/>
  <c r="M48" i="16"/>
  <c r="M220" i="16" s="1"/>
  <c r="M225" i="16" s="1"/>
  <c r="T367" i="17"/>
  <c r="T370" i="17" s="1"/>
  <c r="L48" i="16"/>
  <c r="L220" i="16" s="1"/>
  <c r="R367" i="17"/>
  <c r="R370" i="17" s="1"/>
  <c r="J220" i="16"/>
  <c r="J225" i="16" s="1"/>
  <c r="S395" i="17"/>
  <c r="K250" i="16" s="1"/>
  <c r="K559" i="17"/>
  <c r="K642" i="17"/>
  <c r="K645" i="17" s="1"/>
  <c r="U395" i="17"/>
  <c r="M250" i="16" s="1"/>
  <c r="U41" i="15"/>
  <c r="K36" i="15"/>
  <c r="T561" i="17"/>
  <c r="N561" i="17"/>
  <c r="M558" i="17"/>
  <c r="N559" i="17"/>
  <c r="U37" i="15"/>
  <c r="H394" i="16" s="1"/>
  <c r="U36" i="15"/>
  <c r="H392" i="16" s="1"/>
  <c r="O558" i="17"/>
  <c r="P559" i="17"/>
  <c r="P561" i="17"/>
  <c r="K558" i="17"/>
  <c r="L561" i="17"/>
  <c r="L559" i="17"/>
  <c r="M561" i="17"/>
  <c r="M559" i="17"/>
  <c r="L558" i="17"/>
  <c r="N558" i="17"/>
  <c r="O559" i="17"/>
  <c r="P558" i="17"/>
  <c r="Q559" i="17"/>
  <c r="Q561" i="17"/>
  <c r="R559" i="17"/>
  <c r="R561" i="17"/>
  <c r="Q558" i="17"/>
  <c r="S325" i="17"/>
  <c r="S538" i="17"/>
  <c r="O561" i="17"/>
  <c r="P578" i="17"/>
  <c r="Q584" i="17"/>
  <c r="K326" i="17"/>
  <c r="K295" i="17"/>
  <c r="N293" i="17"/>
  <c r="M326" i="17"/>
  <c r="M588" i="17" s="1"/>
  <c r="M295" i="17"/>
  <c r="J326" i="17"/>
  <c r="J295" i="17"/>
  <c r="O290" i="17"/>
  <c r="Q293" i="17" s="1"/>
  <c r="T290" i="17"/>
  <c r="P292" i="17"/>
  <c r="P293" i="17"/>
  <c r="U291" i="17"/>
  <c r="U293" i="17"/>
  <c r="U292" i="17"/>
  <c r="R292" i="17"/>
  <c r="R293" i="17"/>
  <c r="S293" i="17"/>
  <c r="S292" i="17"/>
  <c r="Q292" i="17"/>
  <c r="P370" i="17"/>
  <c r="M370" i="17"/>
  <c r="N370" i="17"/>
  <c r="Q370" i="17"/>
  <c r="K378" i="17"/>
  <c r="Q361" i="17"/>
  <c r="J365" i="17"/>
  <c r="AB94" i="17"/>
  <c r="AB367" i="17" s="1"/>
  <c r="AA94" i="17"/>
  <c r="AA367" i="17" s="1"/>
  <c r="AH94" i="17"/>
  <c r="AH367" i="17" s="1"/>
  <c r="Z94" i="17"/>
  <c r="Z367" i="17" s="1"/>
  <c r="L367" i="17"/>
  <c r="L370" i="17" s="1"/>
  <c r="AF94" i="17"/>
  <c r="AF367" i="17" s="1"/>
  <c r="AG94" i="17"/>
  <c r="AG367" i="17" s="1"/>
  <c r="AE94" i="17"/>
  <c r="AE367" i="17" s="1"/>
  <c r="AD94" i="17"/>
  <c r="AD367" i="17" s="1"/>
  <c r="AC94" i="17"/>
  <c r="AC367" i="17" s="1"/>
  <c r="Y94" i="17"/>
  <c r="Y367" i="17" s="1"/>
  <c r="J378" i="17"/>
  <c r="AG391" i="17"/>
  <c r="AF391" i="17"/>
  <c r="AE391" i="17"/>
  <c r="AH391" i="17"/>
  <c r="Y391" i="17"/>
  <c r="AD391" i="17"/>
  <c r="AA391" i="17"/>
  <c r="AC391" i="17"/>
  <c r="AB391" i="17"/>
  <c r="Z391" i="17"/>
  <c r="O370" i="17"/>
  <c r="R243" i="17"/>
  <c r="T195" i="17"/>
  <c r="J105" i="16" s="1"/>
  <c r="S243" i="17"/>
  <c r="AB242" i="17"/>
  <c r="N243" i="17"/>
  <c r="Z242" i="17"/>
  <c r="AD242" i="17"/>
  <c r="AD368" i="17" s="1"/>
  <c r="R195" i="17"/>
  <c r="AC242" i="17"/>
  <c r="AC368" i="17" s="1"/>
  <c r="AH242" i="17"/>
  <c r="AH368" i="17" s="1"/>
  <c r="P195" i="17"/>
  <c r="O37" i="17"/>
  <c r="O178" i="17" s="1"/>
  <c r="O323" i="17" s="1"/>
  <c r="O325" i="17"/>
  <c r="P37" i="17"/>
  <c r="P178" i="17" s="1"/>
  <c r="P323" i="17" s="1"/>
  <c r="P325" i="17"/>
  <c r="L195" i="17"/>
  <c r="AA242" i="17"/>
  <c r="AA368" i="17" s="1"/>
  <c r="Q37" i="17"/>
  <c r="Q178" i="17" s="1"/>
  <c r="Q323" i="17" s="1"/>
  <c r="Q325" i="17"/>
  <c r="R37" i="17"/>
  <c r="R178" i="17" s="1"/>
  <c r="R323" i="17" s="1"/>
  <c r="R325" i="17"/>
  <c r="U243" i="17"/>
  <c r="AG267" i="17"/>
  <c r="AH267" i="17"/>
  <c r="U37" i="17"/>
  <c r="U325" i="17"/>
  <c r="L37" i="17"/>
  <c r="L178" i="17" s="1"/>
  <c r="L323" i="17" s="1"/>
  <c r="L325" i="17"/>
  <c r="M37" i="17"/>
  <c r="M178" i="17" s="1"/>
  <c r="M323" i="17" s="1"/>
  <c r="M325" i="17"/>
  <c r="T37" i="17"/>
  <c r="T325" i="17"/>
  <c r="N37" i="17"/>
  <c r="N178" i="17" s="1"/>
  <c r="N323" i="17" s="1"/>
  <c r="N325" i="17"/>
  <c r="AE242" i="17"/>
  <c r="AE368" i="17" s="1"/>
  <c r="O243" i="17"/>
  <c r="P243" i="17"/>
  <c r="T243" i="17"/>
  <c r="P121" i="17"/>
  <c r="P225" i="17" s="1"/>
  <c r="P365" i="17" s="1"/>
  <c r="Q121" i="17"/>
  <c r="Q243" i="17"/>
  <c r="R121" i="17"/>
  <c r="J42" i="16" s="1"/>
  <c r="J217" i="16" s="1"/>
  <c r="Y233" i="17"/>
  <c r="Y242" i="17" s="1"/>
  <c r="O95" i="17"/>
  <c r="O195" i="17"/>
  <c r="M121" i="17"/>
  <c r="N121" i="17"/>
  <c r="K196" i="17"/>
  <c r="AG233" i="17"/>
  <c r="AG242" i="17" s="1"/>
  <c r="AG368" i="17" s="1"/>
  <c r="N195" i="17"/>
  <c r="N295" i="17" s="1"/>
  <c r="Q195" i="17"/>
  <c r="Q295" i="17" s="1"/>
  <c r="S195" i="17"/>
  <c r="S295" i="17" s="1"/>
  <c r="U195" i="17"/>
  <c r="Z119" i="17"/>
  <c r="AH119" i="17"/>
  <c r="Y119" i="17"/>
  <c r="AG119" i="17"/>
  <c r="AB119" i="17"/>
  <c r="AC119" i="17"/>
  <c r="AA119" i="17"/>
  <c r="Z108" i="17"/>
  <c r="AH108" i="17"/>
  <c r="AD119" i="17"/>
  <c r="AE108" i="17"/>
  <c r="AE119" i="17"/>
  <c r="AF119" i="17"/>
  <c r="AB108" i="17"/>
  <c r="AA108" i="17"/>
  <c r="AC108" i="17"/>
  <c r="AD108" i="17"/>
  <c r="AF108" i="17"/>
  <c r="Y108" i="17"/>
  <c r="AG108" i="17"/>
  <c r="U95" i="17"/>
  <c r="K40" i="17"/>
  <c r="K277" i="17" s="1"/>
  <c r="T95" i="17"/>
  <c r="S95" i="17"/>
  <c r="N95" i="17"/>
  <c r="U121" i="17"/>
  <c r="K38" i="17"/>
  <c r="S121" i="17"/>
  <c r="K42" i="16" s="1"/>
  <c r="K217" i="16" s="1"/>
  <c r="L121" i="17"/>
  <c r="T121" i="17"/>
  <c r="P95" i="17"/>
  <c r="Q95" i="17"/>
  <c r="R95" i="17"/>
  <c r="O121" i="17"/>
  <c r="O225" i="17" s="1"/>
  <c r="O365" i="17" s="1"/>
  <c r="Q11" i="17"/>
  <c r="J124" i="17"/>
  <c r="K124" i="17"/>
  <c r="N11" i="17"/>
  <c r="S11" i="17"/>
  <c r="O11" i="17"/>
  <c r="P11" i="17"/>
  <c r="J40" i="17"/>
  <c r="J277" i="17" s="1"/>
  <c r="R11" i="17"/>
  <c r="L11" i="17"/>
  <c r="T11" i="17"/>
  <c r="S37" i="17"/>
  <c r="H121" i="17"/>
  <c r="H178" i="17" s="1"/>
  <c r="M11" i="17"/>
  <c r="U11" i="17"/>
  <c r="M226" i="16" l="1"/>
  <c r="M227" i="16"/>
  <c r="U374" i="17"/>
  <c r="U371" i="17"/>
  <c r="U372" i="17"/>
  <c r="K226" i="16"/>
  <c r="K227" i="16"/>
  <c r="O374" i="17"/>
  <c r="O372" i="17"/>
  <c r="O371" i="17"/>
  <c r="L374" i="17"/>
  <c r="L372" i="17"/>
  <c r="L371" i="17"/>
  <c r="Q374" i="17"/>
  <c r="Q371" i="17"/>
  <c r="Q372" i="17"/>
  <c r="S374" i="17"/>
  <c r="S371" i="17"/>
  <c r="S372" i="17"/>
  <c r="J375" i="17"/>
  <c r="J376" i="17"/>
  <c r="J227" i="16"/>
  <c r="J226" i="16"/>
  <c r="M374" i="17"/>
  <c r="M372" i="17"/>
  <c r="M371" i="17"/>
  <c r="R374" i="17"/>
  <c r="R371" i="17"/>
  <c r="R372" i="17"/>
  <c r="P374" i="17"/>
  <c r="P372" i="17"/>
  <c r="P371" i="17"/>
  <c r="N374" i="17"/>
  <c r="N372" i="17"/>
  <c r="N371" i="17"/>
  <c r="T374" i="17"/>
  <c r="T371" i="17"/>
  <c r="T372" i="17"/>
  <c r="K376" i="17"/>
  <c r="K375" i="17"/>
  <c r="AC10" i="19"/>
  <c r="AA10" i="19"/>
  <c r="AB10" i="19"/>
  <c r="K555" i="16"/>
  <c r="X10" i="19"/>
  <c r="Z10" i="19"/>
  <c r="Y10" i="19"/>
  <c r="K211" i="17"/>
  <c r="K209" i="17"/>
  <c r="O208" i="17"/>
  <c r="K207" i="17"/>
  <c r="N208" i="17"/>
  <c r="J211" i="17"/>
  <c r="R209" i="17"/>
  <c r="J209" i="17"/>
  <c r="J207" i="17"/>
  <c r="P208" i="17"/>
  <c r="Q209" i="17"/>
  <c r="M208" i="17"/>
  <c r="P209" i="17"/>
  <c r="L208" i="17"/>
  <c r="M209" i="17"/>
  <c r="K210" i="17"/>
  <c r="O209" i="17"/>
  <c r="K208" i="17"/>
  <c r="Q208" i="17"/>
  <c r="J210" i="17"/>
  <c r="N209" i="17"/>
  <c r="R208" i="17"/>
  <c r="J208" i="17"/>
  <c r="L209" i="17"/>
  <c r="Q210" i="17"/>
  <c r="L210" i="17"/>
  <c r="M210" i="17"/>
  <c r="L211" i="17"/>
  <c r="L207" i="17"/>
  <c r="O210" i="17"/>
  <c r="N207" i="17"/>
  <c r="P210" i="17"/>
  <c r="Q211" i="17"/>
  <c r="R210" i="17"/>
  <c r="M207" i="17"/>
  <c r="M211" i="17"/>
  <c r="P211" i="17"/>
  <c r="O207" i="17"/>
  <c r="R207" i="17"/>
  <c r="O211" i="17"/>
  <c r="P207" i="17"/>
  <c r="R211" i="17"/>
  <c r="Q207" i="17"/>
  <c r="N210" i="17"/>
  <c r="N211" i="17"/>
  <c r="J246" i="16"/>
  <c r="R392" i="17"/>
  <c r="P372" i="16"/>
  <c r="Y169" i="18"/>
  <c r="Y170" i="18" s="1"/>
  <c r="AC169" i="18"/>
  <c r="AC171" i="18" s="1"/>
  <c r="AB169" i="18"/>
  <c r="AB170" i="18" s="1"/>
  <c r="M344" i="18"/>
  <c r="AE169" i="18"/>
  <c r="AD169" i="18"/>
  <c r="AC59" i="18" a="1"/>
  <c r="AC59" i="18" s="1"/>
  <c r="AC60" i="18" s="1"/>
  <c r="AC101" i="18" a="1"/>
  <c r="AC101" i="18" s="1"/>
  <c r="AC105" i="18" a="1"/>
  <c r="AC105" i="18" s="1"/>
  <c r="AC108" i="18" a="1"/>
  <c r="AC108" i="18" s="1"/>
  <c r="AC37" i="18" a="1"/>
  <c r="AC37" i="18" s="1"/>
  <c r="AC40" i="18" s="1"/>
  <c r="AC81" i="18" a="1"/>
  <c r="AC81" i="18" s="1"/>
  <c r="AC30" i="18" a="1"/>
  <c r="AC30" i="18" s="1"/>
  <c r="AC104" i="18" a="1"/>
  <c r="AC104" i="18" s="1"/>
  <c r="AC93" i="18" a="1"/>
  <c r="AC93" i="18" s="1"/>
  <c r="AC11" i="18" a="1"/>
  <c r="AC11" i="18" s="1"/>
  <c r="AC15" i="18" a="1"/>
  <c r="AC15" i="18" s="1"/>
  <c r="AC79" i="18" a="1"/>
  <c r="AC79" i="18" s="1"/>
  <c r="AC18" i="18" a="1"/>
  <c r="AC18" i="18" s="1"/>
  <c r="AC99" i="18" a="1"/>
  <c r="AC99" i="18" s="1"/>
  <c r="AD6" i="18"/>
  <c r="AC27" i="18" a="1"/>
  <c r="AC27" i="18" s="1"/>
  <c r="AC31" i="18" a="1"/>
  <c r="AC31" i="18" s="1"/>
  <c r="AC10" i="18" a="1"/>
  <c r="AC10" i="18" s="1"/>
  <c r="AC66" i="18" a="1"/>
  <c r="AC66" i="18" s="1"/>
  <c r="AC102" i="18" a="1"/>
  <c r="AC102" i="18" s="1"/>
  <c r="AC96" i="18" a="1"/>
  <c r="AC96" i="18" s="1"/>
  <c r="AC12" i="18" a="1"/>
  <c r="AC12" i="18" s="1"/>
  <c r="AC94" i="18" a="1"/>
  <c r="AC94" i="18" s="1"/>
  <c r="AC20" i="18" a="1"/>
  <c r="AC20" i="18" s="1"/>
  <c r="AC35" i="18" a="1"/>
  <c r="AC35" i="18" s="1"/>
  <c r="AC100" i="18" a="1"/>
  <c r="AC100" i="18" s="1"/>
  <c r="AC110" i="18" a="1"/>
  <c r="AC110" i="18" s="1"/>
  <c r="AC97" i="18" a="1"/>
  <c r="AC97" i="18" s="1"/>
  <c r="AC103" i="18" a="1"/>
  <c r="AC103" i="18" s="1"/>
  <c r="AC22" i="18" a="1"/>
  <c r="AC22" i="18" s="1"/>
  <c r="AC62" i="18" a="1"/>
  <c r="AC62" i="18" s="1"/>
  <c r="AC17" i="18" a="1"/>
  <c r="AC17" i="18" s="1"/>
  <c r="AC109" i="18" a="1"/>
  <c r="AC109" i="18" s="1"/>
  <c r="AC106" i="18" a="1"/>
  <c r="AC106" i="18" s="1"/>
  <c r="AC57" i="18" a="1"/>
  <c r="AC57" i="18" s="1"/>
  <c r="AC58" i="18" s="1"/>
  <c r="AC80" i="18" a="1"/>
  <c r="AC80" i="18" s="1"/>
  <c r="AC32" i="18" a="1"/>
  <c r="AC32" i="18" s="1"/>
  <c r="AC107" i="18" a="1"/>
  <c r="AC107" i="18" s="1"/>
  <c r="AC95" i="18" a="1"/>
  <c r="AC95" i="18" s="1"/>
  <c r="AC34" i="18" a="1"/>
  <c r="AC34" i="18" s="1"/>
  <c r="AC67" i="18" a="1"/>
  <c r="AC67" i="18" s="1"/>
  <c r="AC98" i="18" a="1"/>
  <c r="AC98" i="18" s="1"/>
  <c r="AC64" i="18" a="1"/>
  <c r="AC64" i="18" s="1"/>
  <c r="AC33" i="18" a="1"/>
  <c r="AC33" i="18" s="1"/>
  <c r="AH169" i="18"/>
  <c r="AG169" i="18"/>
  <c r="Q394" i="17"/>
  <c r="Q391" i="17"/>
  <c r="Q392" i="17" s="1"/>
  <c r="K597" i="16"/>
  <c r="K384" i="18" s="1"/>
  <c r="K395" i="18"/>
  <c r="Z169" i="18"/>
  <c r="AA169" i="18"/>
  <c r="AF171" i="18"/>
  <c r="AF170" i="18"/>
  <c r="U515" i="16"/>
  <c r="M515" i="16"/>
  <c r="M516" i="16" s="1"/>
  <c r="P515" i="16"/>
  <c r="S515" i="16"/>
  <c r="T515" i="16"/>
  <c r="O515" i="16"/>
  <c r="Q515" i="16"/>
  <c r="R515" i="16"/>
  <c r="N515" i="16"/>
  <c r="L491" i="16"/>
  <c r="L492" i="16" s="1"/>
  <c r="L180" i="16" s="1"/>
  <c r="T491" i="16"/>
  <c r="M491" i="16"/>
  <c r="U491" i="16"/>
  <c r="N491" i="16"/>
  <c r="Q491" i="16"/>
  <c r="O491" i="16"/>
  <c r="R491" i="16"/>
  <c r="P491" i="16"/>
  <c r="L507" i="16"/>
  <c r="L508" i="16" s="1"/>
  <c r="L518" i="16" s="1"/>
  <c r="R507" i="16"/>
  <c r="S507" i="16"/>
  <c r="O507" i="16"/>
  <c r="Q507" i="16"/>
  <c r="T507" i="16"/>
  <c r="P507" i="16"/>
  <c r="U507" i="16"/>
  <c r="N507" i="16"/>
  <c r="M507" i="16"/>
  <c r="U561" i="17"/>
  <c r="K449" i="16"/>
  <c r="K453" i="16" s="1"/>
  <c r="K572" i="16"/>
  <c r="K622" i="16" s="1"/>
  <c r="K596" i="16"/>
  <c r="K383" i="18" s="1"/>
  <c r="L534" i="16"/>
  <c r="J449" i="16"/>
  <c r="J453" i="16" s="1"/>
  <c r="J572" i="16"/>
  <c r="J178" i="16"/>
  <c r="J450" i="16" s="1"/>
  <c r="R530" i="16"/>
  <c r="R532" i="16" s="1"/>
  <c r="Q372" i="16"/>
  <c r="P511" i="16"/>
  <c r="P513" i="16" s="1"/>
  <c r="O361" i="16"/>
  <c r="P325" i="16"/>
  <c r="O487" i="16"/>
  <c r="T178" i="17"/>
  <c r="J17" i="16"/>
  <c r="J117" i="16" s="1"/>
  <c r="J173" i="16" s="1"/>
  <c r="N246" i="16"/>
  <c r="O246" i="16" s="1"/>
  <c r="P246" i="16" s="1"/>
  <c r="Q246" i="16" s="1"/>
  <c r="R246" i="16" s="1"/>
  <c r="S246" i="16" s="1"/>
  <c r="T246" i="16" s="1"/>
  <c r="U246" i="16" s="1"/>
  <c r="L396" i="16"/>
  <c r="M396" i="16" s="1"/>
  <c r="K229" i="16"/>
  <c r="M229" i="16"/>
  <c r="L221" i="16"/>
  <c r="L225" i="16"/>
  <c r="J229" i="16"/>
  <c r="K221" i="16"/>
  <c r="M221" i="16"/>
  <c r="K177" i="16"/>
  <c r="K218" i="16"/>
  <c r="U559" i="17"/>
  <c r="S558" i="17"/>
  <c r="U295" i="17"/>
  <c r="U298" i="17" s="1"/>
  <c r="K105" i="16"/>
  <c r="K178" i="16" s="1"/>
  <c r="T225" i="17"/>
  <c r="T365" i="17" s="1"/>
  <c r="L42" i="16"/>
  <c r="L217" i="16" s="1"/>
  <c r="L218" i="16" s="1"/>
  <c r="U225" i="17"/>
  <c r="U365" i="17" s="1"/>
  <c r="M42" i="16"/>
  <c r="M217" i="16" s="1"/>
  <c r="U178" i="17"/>
  <c r="U323" i="17" s="1"/>
  <c r="K17" i="16"/>
  <c r="K24" i="16"/>
  <c r="R395" i="17"/>
  <c r="J250" i="16" s="1"/>
  <c r="N675" i="17"/>
  <c r="N683" i="17" s="1"/>
  <c r="N587" i="17"/>
  <c r="U675" i="17"/>
  <c r="U683" i="17" s="1"/>
  <c r="U587" i="17"/>
  <c r="U599" i="17" s="1"/>
  <c r="P675" i="17"/>
  <c r="P683" i="17" s="1"/>
  <c r="P587" i="17"/>
  <c r="K386" i="17"/>
  <c r="K385" i="17"/>
  <c r="K328" i="17"/>
  <c r="K588" i="17"/>
  <c r="S561" i="17"/>
  <c r="S559" i="17"/>
  <c r="R558" i="17"/>
  <c r="S675" i="17"/>
  <c r="S683" i="17" s="1"/>
  <c r="S587" i="17"/>
  <c r="S599" i="17" s="1"/>
  <c r="L675" i="17"/>
  <c r="L683" i="17" s="1"/>
  <c r="L587" i="17"/>
  <c r="T675" i="17"/>
  <c r="T683" i="17" s="1"/>
  <c r="T587" i="17"/>
  <c r="T599" i="17" s="1"/>
  <c r="O675" i="17"/>
  <c r="O683" i="17" s="1"/>
  <c r="O587" i="17"/>
  <c r="R675" i="17"/>
  <c r="R683" i="17" s="1"/>
  <c r="R587" i="17"/>
  <c r="R599" i="17" s="1"/>
  <c r="J386" i="17"/>
  <c r="J385" i="17"/>
  <c r="J328" i="17"/>
  <c r="J588" i="17"/>
  <c r="O578" i="17"/>
  <c r="P584" i="17"/>
  <c r="Q675" i="17"/>
  <c r="Q683" i="17" s="1"/>
  <c r="Q587" i="17"/>
  <c r="Q599" i="17" s="1"/>
  <c r="M675" i="17"/>
  <c r="M683" i="17" s="1"/>
  <c r="M587" i="17"/>
  <c r="M298" i="17"/>
  <c r="T378" i="17"/>
  <c r="M196" i="17"/>
  <c r="L295" i="17"/>
  <c r="L298" i="17" s="1"/>
  <c r="R326" i="17"/>
  <c r="R295" i="17"/>
  <c r="T326" i="17"/>
  <c r="T295" i="17"/>
  <c r="O326" i="17"/>
  <c r="O295" i="17"/>
  <c r="P326" i="17"/>
  <c r="P588" i="17" s="1"/>
  <c r="P295" i="17"/>
  <c r="S297" i="17"/>
  <c r="S298" i="17"/>
  <c r="AA243" i="17"/>
  <c r="T293" i="17"/>
  <c r="T291" i="17"/>
  <c r="T292" i="17"/>
  <c r="P378" i="17"/>
  <c r="O292" i="17"/>
  <c r="O293" i="17"/>
  <c r="T40" i="17"/>
  <c r="Q378" i="17"/>
  <c r="R40" i="17"/>
  <c r="R277" i="17" s="1"/>
  <c r="AH370" i="17"/>
  <c r="AC370" i="17"/>
  <c r="AA370" i="17"/>
  <c r="AE370" i="17"/>
  <c r="Z243" i="17"/>
  <c r="Z368" i="17"/>
  <c r="Z370" i="17" s="1"/>
  <c r="Y243" i="17"/>
  <c r="Y368" i="17"/>
  <c r="Y370" i="17" s="1"/>
  <c r="AB243" i="17"/>
  <c r="AB368" i="17"/>
  <c r="AB370" i="17" s="1"/>
  <c r="S378" i="17"/>
  <c r="P361" i="17"/>
  <c r="O378" i="17"/>
  <c r="U378" i="17"/>
  <c r="U385" i="17" s="1"/>
  <c r="AD370" i="17"/>
  <c r="AG370" i="17"/>
  <c r="AF370" i="17"/>
  <c r="R378" i="17"/>
  <c r="L225" i="17"/>
  <c r="L365" i="17" s="1"/>
  <c r="AF121" i="17"/>
  <c r="AE121" i="17"/>
  <c r="AE225" i="17" s="1"/>
  <c r="AD121" i="17"/>
  <c r="AD225" i="17" s="1"/>
  <c r="AC121" i="17"/>
  <c r="AC225" i="17" s="1"/>
  <c r="AB121" i="17"/>
  <c r="AH121" i="17"/>
  <c r="Z121" i="17"/>
  <c r="AG121" i="17"/>
  <c r="AA121" i="17"/>
  <c r="AA225" i="17" s="1"/>
  <c r="Y121" i="17"/>
  <c r="L378" i="17"/>
  <c r="O40" i="17"/>
  <c r="O277" i="17" s="1"/>
  <c r="M40" i="17"/>
  <c r="M277" i="17" s="1"/>
  <c r="M281" i="17" s="1"/>
  <c r="AD243" i="17"/>
  <c r="M328" i="17"/>
  <c r="AF243" i="17"/>
  <c r="AH243" i="17"/>
  <c r="O38" i="17"/>
  <c r="AG243" i="17"/>
  <c r="M38" i="17"/>
  <c r="N40" i="17"/>
  <c r="N277" i="17" s="1"/>
  <c r="L40" i="17"/>
  <c r="L277" i="17" s="1"/>
  <c r="L281" i="17" s="1"/>
  <c r="L38" i="17"/>
  <c r="AE243" i="17"/>
  <c r="Q38" i="17"/>
  <c r="R124" i="17"/>
  <c r="J38" i="16" s="1"/>
  <c r="R225" i="17"/>
  <c r="R365" i="17" s="1"/>
  <c r="N38" i="17"/>
  <c r="R38" i="17"/>
  <c r="U196" i="17"/>
  <c r="U326" i="17"/>
  <c r="N122" i="17"/>
  <c r="N225" i="17"/>
  <c r="N365" i="17" s="1"/>
  <c r="U38" i="17"/>
  <c r="S38" i="17"/>
  <c r="S178" i="17"/>
  <c r="S323" i="17" s="1"/>
  <c r="R122" i="17"/>
  <c r="M225" i="17"/>
  <c r="M365" i="17" s="1"/>
  <c r="U40" i="17"/>
  <c r="Q40" i="17"/>
  <c r="Q277" i="17" s="1"/>
  <c r="P38" i="17"/>
  <c r="S196" i="17"/>
  <c r="S326" i="17"/>
  <c r="S588" i="17" s="1"/>
  <c r="Q124" i="17"/>
  <c r="Q225" i="17"/>
  <c r="Q365" i="17" s="1"/>
  <c r="S124" i="17"/>
  <c r="K38" i="16" s="1"/>
  <c r="S225" i="17"/>
  <c r="S365" i="17" s="1"/>
  <c r="P40" i="17"/>
  <c r="P277" i="17" s="1"/>
  <c r="Q196" i="17"/>
  <c r="Q326" i="17"/>
  <c r="L196" i="17"/>
  <c r="L326" i="17"/>
  <c r="L588" i="17" s="1"/>
  <c r="N196" i="17"/>
  <c r="N326" i="17"/>
  <c r="N588" i="17" s="1"/>
  <c r="R196" i="17"/>
  <c r="AC243" i="17"/>
  <c r="M124" i="17"/>
  <c r="T196" i="17"/>
  <c r="AA95" i="17"/>
  <c r="Q201" i="17"/>
  <c r="Q122" i="17"/>
  <c r="N124" i="17"/>
  <c r="N125" i="17" s="1"/>
  <c r="N202" i="17"/>
  <c r="U203" i="17"/>
  <c r="K124" i="16" s="1"/>
  <c r="M203" i="17"/>
  <c r="Q202" i="17"/>
  <c r="L203" i="17"/>
  <c r="P202" i="17"/>
  <c r="K200" i="17"/>
  <c r="K203" i="17"/>
  <c r="K201" i="17"/>
  <c r="K199" i="17"/>
  <c r="R203" i="17"/>
  <c r="J203" i="17"/>
  <c r="J201" i="17"/>
  <c r="J199" i="17"/>
  <c r="H225" i="17"/>
  <c r="K202" i="17"/>
  <c r="Q203" i="17"/>
  <c r="M202" i="17"/>
  <c r="P203" i="17"/>
  <c r="L202" i="17"/>
  <c r="R202" i="17"/>
  <c r="J202" i="17"/>
  <c r="J200" i="17"/>
  <c r="R200" i="17"/>
  <c r="P199" i="17"/>
  <c r="U200" i="17"/>
  <c r="K121" i="16" s="1"/>
  <c r="U199" i="17"/>
  <c r="K120" i="16" s="1"/>
  <c r="L200" i="17"/>
  <c r="R201" i="17"/>
  <c r="M199" i="17"/>
  <c r="M201" i="17"/>
  <c r="R199" i="17"/>
  <c r="P201" i="17"/>
  <c r="P200" i="17"/>
  <c r="L199" i="17"/>
  <c r="M200" i="17"/>
  <c r="L201" i="17"/>
  <c r="P124" i="17"/>
  <c r="O196" i="17"/>
  <c r="P196" i="17"/>
  <c r="AE95" i="17"/>
  <c r="U124" i="17"/>
  <c r="M38" i="16" s="1"/>
  <c r="U122" i="17"/>
  <c r="K41" i="17"/>
  <c r="T122" i="17"/>
  <c r="O199" i="17"/>
  <c r="O122" i="17"/>
  <c r="O124" i="17"/>
  <c r="O125" i="17" s="1"/>
  <c r="T124" i="17"/>
  <c r="L38" i="16" s="1"/>
  <c r="AF95" i="17"/>
  <c r="AH95" i="17"/>
  <c r="L124" i="17"/>
  <c r="AC95" i="17"/>
  <c r="Z95" i="17"/>
  <c r="AD95" i="17"/>
  <c r="S122" i="17"/>
  <c r="P122" i="17"/>
  <c r="AG95" i="17"/>
  <c r="AB95" i="17"/>
  <c r="Y95" i="17"/>
  <c r="S40" i="17"/>
  <c r="S277" i="17" s="1"/>
  <c r="T38" i="17"/>
  <c r="T323" i="17" l="1"/>
  <c r="T203" i="17"/>
  <c r="J124" i="16" s="1"/>
  <c r="T202" i="17"/>
  <c r="J123" i="16" s="1"/>
  <c r="T201" i="17"/>
  <c r="J122" i="16" s="1"/>
  <c r="T200" i="17"/>
  <c r="J121" i="16" s="1"/>
  <c r="T199" i="17"/>
  <c r="J120" i="16" s="1"/>
  <c r="AE374" i="17"/>
  <c r="AE371" i="17"/>
  <c r="AE372" i="17"/>
  <c r="J231" i="16"/>
  <c r="J230" i="16"/>
  <c r="K677" i="17"/>
  <c r="K685" i="17" s="1"/>
  <c r="K330" i="17"/>
  <c r="K329" i="17"/>
  <c r="AA374" i="17"/>
  <c r="AA372" i="17"/>
  <c r="AA371" i="17"/>
  <c r="L226" i="16"/>
  <c r="L227" i="16"/>
  <c r="P375" i="17"/>
  <c r="P376" i="17"/>
  <c r="Q376" i="17"/>
  <c r="Q375" i="17"/>
  <c r="M376" i="17"/>
  <c r="M375" i="17"/>
  <c r="AC374" i="17"/>
  <c r="AC372" i="17"/>
  <c r="AC371" i="17"/>
  <c r="AF374" i="17"/>
  <c r="AF371" i="17"/>
  <c r="AF372" i="17"/>
  <c r="AH374" i="17"/>
  <c r="AH371" i="17"/>
  <c r="AH372" i="17"/>
  <c r="M231" i="16"/>
  <c r="M230" i="16"/>
  <c r="Y171" i="18"/>
  <c r="T376" i="17"/>
  <c r="T375" i="17"/>
  <c r="M329" i="17"/>
  <c r="M330" i="17"/>
  <c r="AG374" i="17"/>
  <c r="AG371" i="17"/>
  <c r="AG372" i="17"/>
  <c r="Y374" i="17"/>
  <c r="Y378" i="17" s="1"/>
  <c r="Y382" i="17" s="1"/>
  <c r="Y384" i="17" s="1"/>
  <c r="Y385" i="17" s="1"/>
  <c r="Y371" i="17"/>
  <c r="Y372" i="17"/>
  <c r="J677" i="17"/>
  <c r="J685" i="17" s="1"/>
  <c r="J330" i="17"/>
  <c r="J329" i="17"/>
  <c r="K231" i="16"/>
  <c r="K230" i="16"/>
  <c r="R375" i="17"/>
  <c r="R376" i="17"/>
  <c r="L376" i="17"/>
  <c r="L375" i="17"/>
  <c r="U376" i="17"/>
  <c r="U375" i="17"/>
  <c r="AD374" i="17"/>
  <c r="AD371" i="17"/>
  <c r="AD372" i="17"/>
  <c r="O376" i="17"/>
  <c r="O375" i="17"/>
  <c r="AB374" i="17"/>
  <c r="AB372" i="17"/>
  <c r="AB371" i="17"/>
  <c r="M378" i="17"/>
  <c r="Z374" i="17"/>
  <c r="Z371" i="17"/>
  <c r="Z372" i="17"/>
  <c r="N378" i="17"/>
  <c r="N376" i="17"/>
  <c r="N375" i="17"/>
  <c r="S375" i="17"/>
  <c r="S376" i="17"/>
  <c r="K212" i="17"/>
  <c r="U201" i="17"/>
  <c r="K122" i="16" s="1"/>
  <c r="AB171" i="18"/>
  <c r="S210" i="17"/>
  <c r="U211" i="17"/>
  <c r="K132" i="16" s="1"/>
  <c r="S211" i="17"/>
  <c r="J212" i="17"/>
  <c r="U209" i="17"/>
  <c r="K130" i="16" s="1"/>
  <c r="U207" i="17"/>
  <c r="K128" i="16" s="1"/>
  <c r="S208" i="17"/>
  <c r="S207" i="17"/>
  <c r="U208" i="17"/>
  <c r="K129" i="16" s="1"/>
  <c r="T207" i="17"/>
  <c r="J128" i="16" s="1"/>
  <c r="T211" i="17"/>
  <c r="J132" i="16" s="1"/>
  <c r="U210" i="17"/>
  <c r="K131" i="16" s="1"/>
  <c r="S209" i="17"/>
  <c r="T258" i="17"/>
  <c r="L258" i="17"/>
  <c r="O257" i="17"/>
  <c r="R256" i="17"/>
  <c r="J256" i="17"/>
  <c r="M255" i="17"/>
  <c r="P254" i="17"/>
  <c r="U257" i="17"/>
  <c r="O258" i="17"/>
  <c r="L256" i="17"/>
  <c r="S258" i="17"/>
  <c r="K258" i="17"/>
  <c r="N257" i="17"/>
  <c r="Q256" i="17"/>
  <c r="T255" i="17"/>
  <c r="L255" i="17"/>
  <c r="O254" i="17"/>
  <c r="U256" i="17"/>
  <c r="R257" i="17"/>
  <c r="R258" i="17"/>
  <c r="J258" i="17"/>
  <c r="M257" i="17"/>
  <c r="P256" i="17"/>
  <c r="S255" i="17"/>
  <c r="K255" i="17"/>
  <c r="N254" i="17"/>
  <c r="U255" i="17"/>
  <c r="M256" i="17"/>
  <c r="N258" i="17"/>
  <c r="Q258" i="17"/>
  <c r="T257" i="17"/>
  <c r="L257" i="17"/>
  <c r="O256" i="17"/>
  <c r="R255" i="17"/>
  <c r="J255" i="17"/>
  <c r="M254" i="17"/>
  <c r="U254" i="17"/>
  <c r="P255" i="17"/>
  <c r="O255" i="17"/>
  <c r="P258" i="17"/>
  <c r="S257" i="17"/>
  <c r="K257" i="17"/>
  <c r="N256" i="17"/>
  <c r="Q255" i="17"/>
  <c r="T254" i="17"/>
  <c r="L254" i="17"/>
  <c r="J257" i="17"/>
  <c r="K254" i="17"/>
  <c r="T256" i="17"/>
  <c r="R254" i="17"/>
  <c r="J254" i="17"/>
  <c r="M258" i="17"/>
  <c r="P257" i="17"/>
  <c r="S256" i="17"/>
  <c r="K256" i="17"/>
  <c r="N255" i="17"/>
  <c r="Q254" i="17"/>
  <c r="U258" i="17"/>
  <c r="S254" i="17"/>
  <c r="Q257" i="17"/>
  <c r="T210" i="17"/>
  <c r="J131" i="16" s="1"/>
  <c r="T209" i="17"/>
  <c r="T208" i="17"/>
  <c r="J129" i="16" s="1"/>
  <c r="AC170" i="18"/>
  <c r="N224" i="16"/>
  <c r="Z171" i="18"/>
  <c r="Z170" i="18"/>
  <c r="AD171" i="18"/>
  <c r="AD170" i="18"/>
  <c r="P394" i="17"/>
  <c r="P391" i="17"/>
  <c r="P392" i="17" s="1"/>
  <c r="AD33" i="18" a="1"/>
  <c r="AD33" i="18" s="1"/>
  <c r="AD101" i="18" a="1"/>
  <c r="AD101" i="18" s="1"/>
  <c r="AD30" i="18" a="1"/>
  <c r="AD30" i="18" s="1"/>
  <c r="AD94" i="18" a="1"/>
  <c r="AD94" i="18" s="1"/>
  <c r="AD105" i="18" a="1"/>
  <c r="AD105" i="18" s="1"/>
  <c r="AD102" i="18" a="1"/>
  <c r="AD102" i="18" s="1"/>
  <c r="AD10" i="18" a="1"/>
  <c r="AD10" i="18" s="1"/>
  <c r="AD57" i="18" a="1"/>
  <c r="AD57" i="18" s="1"/>
  <c r="AD58" i="18" s="1"/>
  <c r="AD32" i="18" a="1"/>
  <c r="AD32" i="18" s="1"/>
  <c r="AD67" i="18" a="1"/>
  <c r="AD67" i="18" s="1"/>
  <c r="AD100" i="18" a="1"/>
  <c r="AD100" i="18" s="1"/>
  <c r="AD106" i="18" a="1"/>
  <c r="AD106" i="18" s="1"/>
  <c r="AD108" i="18" a="1"/>
  <c r="AD108" i="18" s="1"/>
  <c r="AD59" i="18" a="1"/>
  <c r="AD59" i="18" s="1"/>
  <c r="AD60" i="18" s="1"/>
  <c r="AD37" i="18" a="1"/>
  <c r="AD37" i="18" s="1"/>
  <c r="AD40" i="18" s="1"/>
  <c r="AD11" i="18" a="1"/>
  <c r="AD11" i="18" s="1"/>
  <c r="AD62" i="18" a="1"/>
  <c r="AD62" i="18" s="1"/>
  <c r="AD97" i="18" a="1"/>
  <c r="AD97" i="18" s="1"/>
  <c r="AD95" i="18" a="1"/>
  <c r="AD95" i="18" s="1"/>
  <c r="AD18" i="18" a="1"/>
  <c r="AD18" i="18" s="1"/>
  <c r="AD81" i="18" a="1"/>
  <c r="AD81" i="18" s="1"/>
  <c r="AD93" i="18" a="1"/>
  <c r="AD93" i="18" s="1"/>
  <c r="AD34" i="18" a="1"/>
  <c r="AD34" i="18" s="1"/>
  <c r="AD12" i="18" a="1"/>
  <c r="AD12" i="18" s="1"/>
  <c r="AD110" i="18" a="1"/>
  <c r="AD110" i="18" s="1"/>
  <c r="AD35" i="18" a="1"/>
  <c r="AD35" i="18" s="1"/>
  <c r="AD109" i="18" a="1"/>
  <c r="AD109" i="18" s="1"/>
  <c r="AD27" i="18" a="1"/>
  <c r="AD27" i="18" s="1"/>
  <c r="AD98" i="18" a="1"/>
  <c r="AD98" i="18" s="1"/>
  <c r="AD104" i="18" a="1"/>
  <c r="AD104" i="18" s="1"/>
  <c r="AE6" i="18"/>
  <c r="AD107" i="18" a="1"/>
  <c r="AD107" i="18" s="1"/>
  <c r="AD22" i="18" a="1"/>
  <c r="AD22" i="18" s="1"/>
  <c r="AD17" i="18" a="1"/>
  <c r="AD17" i="18" s="1"/>
  <c r="AD15" i="18" a="1"/>
  <c r="AD15" i="18" s="1"/>
  <c r="AD31" i="18" a="1"/>
  <c r="AD31" i="18" s="1"/>
  <c r="AD99" i="18" a="1"/>
  <c r="AD99" i="18" s="1"/>
  <c r="AD20" i="18" a="1"/>
  <c r="AD20" i="18" s="1"/>
  <c r="AD80" i="18" a="1"/>
  <c r="AD80" i="18" s="1"/>
  <c r="AD79" i="18" a="1"/>
  <c r="AD79" i="18" s="1"/>
  <c r="AD66" i="18" a="1"/>
  <c r="AD66" i="18" s="1"/>
  <c r="AD103" i="18" a="1"/>
  <c r="AD103" i="18" s="1"/>
  <c r="AD96" i="18" a="1"/>
  <c r="AD96" i="18" s="1"/>
  <c r="AD64" i="18" a="1"/>
  <c r="AD64" i="18" s="1"/>
  <c r="AE170" i="18"/>
  <c r="AE171" i="18"/>
  <c r="AG170" i="18"/>
  <c r="AG171" i="18"/>
  <c r="K608" i="16"/>
  <c r="AH170" i="18"/>
  <c r="AH171" i="18"/>
  <c r="AA170" i="18"/>
  <c r="AA171" i="18"/>
  <c r="K595" i="16"/>
  <c r="K382" i="18"/>
  <c r="K22" i="15"/>
  <c r="AC13" i="15"/>
  <c r="J456" i="16"/>
  <c r="J454" i="16"/>
  <c r="J457" i="16"/>
  <c r="J458" i="16"/>
  <c r="J455" i="16"/>
  <c r="L596" i="16"/>
  <c r="L383" i="18" s="1"/>
  <c r="L202" i="16"/>
  <c r="L293" i="18" s="1"/>
  <c r="M534" i="16"/>
  <c r="K573" i="16"/>
  <c r="K179" i="16"/>
  <c r="S530" i="16"/>
  <c r="S532" i="16" s="1"/>
  <c r="R372" i="16"/>
  <c r="Q511" i="16"/>
  <c r="Q513" i="16" s="1"/>
  <c r="P361" i="16"/>
  <c r="L188" i="16"/>
  <c r="L266" i="16" s="1"/>
  <c r="L285" i="16" s="1"/>
  <c r="L498" i="16"/>
  <c r="Q325" i="16"/>
  <c r="P487" i="16"/>
  <c r="N516" i="16"/>
  <c r="U296" i="17"/>
  <c r="T277" i="17"/>
  <c r="T279" i="17" s="1"/>
  <c r="J13" i="16"/>
  <c r="N396" i="16"/>
  <c r="M218" i="16"/>
  <c r="J233" i="16"/>
  <c r="M233" i="16"/>
  <c r="L229" i="16"/>
  <c r="K233" i="16"/>
  <c r="K450" i="16"/>
  <c r="K106" i="16"/>
  <c r="U202" i="17"/>
  <c r="T155" i="15"/>
  <c r="T157" i="15" s="1"/>
  <c r="T149" i="15"/>
  <c r="N155" i="15"/>
  <c r="N157" i="15" s="1"/>
  <c r="N149" i="15"/>
  <c r="AC365" i="17"/>
  <c r="AC250" i="17"/>
  <c r="O155" i="15"/>
  <c r="O157" i="15" s="1"/>
  <c r="O149" i="15"/>
  <c r="U155" i="15"/>
  <c r="U157" i="15" s="1"/>
  <c r="U149" i="15"/>
  <c r="AD365" i="17"/>
  <c r="AD250" i="17"/>
  <c r="AE365" i="17"/>
  <c r="AE250" i="17"/>
  <c r="R155" i="15"/>
  <c r="R149" i="15"/>
  <c r="S155" i="15"/>
  <c r="S149" i="15"/>
  <c r="AA365" i="17"/>
  <c r="AA250" i="17"/>
  <c r="Q155" i="15"/>
  <c r="Q156" i="15" s="1"/>
  <c r="Q149" i="15"/>
  <c r="P155" i="15"/>
  <c r="P156" i="15" s="1"/>
  <c r="P149" i="15"/>
  <c r="K117" i="16"/>
  <c r="K173" i="16" s="1"/>
  <c r="K174" i="16" s="1"/>
  <c r="K87" i="16"/>
  <c r="AE246" i="17"/>
  <c r="AE249" i="17"/>
  <c r="AD246" i="17"/>
  <c r="AD249" i="17"/>
  <c r="AE247" i="17"/>
  <c r="AC246" i="17"/>
  <c r="AC249" i="17"/>
  <c r="AD247" i="17"/>
  <c r="AA246" i="17"/>
  <c r="AC247" i="17"/>
  <c r="AC248" i="17"/>
  <c r="AA249" i="17"/>
  <c r="AD248" i="17"/>
  <c r="AA247" i="17"/>
  <c r="AE248" i="17"/>
  <c r="AA248" i="17"/>
  <c r="U277" i="17"/>
  <c r="U279" i="17" s="1"/>
  <c r="K13" i="16"/>
  <c r="Q395" i="17"/>
  <c r="J387" i="17"/>
  <c r="K332" i="17"/>
  <c r="P328" i="17"/>
  <c r="P386" i="17"/>
  <c r="P387" i="17" s="1"/>
  <c r="P385" i="17"/>
  <c r="T328" i="17"/>
  <c r="T588" i="17"/>
  <c r="K387" i="17"/>
  <c r="R386" i="17"/>
  <c r="J247" i="16" s="1"/>
  <c r="R385" i="17"/>
  <c r="P601" i="17"/>
  <c r="P600" i="17"/>
  <c r="P604" i="17"/>
  <c r="P603" i="17"/>
  <c r="P602" i="17"/>
  <c r="R328" i="17"/>
  <c r="R588" i="17"/>
  <c r="O328" i="17"/>
  <c r="O588" i="17"/>
  <c r="M677" i="17"/>
  <c r="M685" i="17" s="1"/>
  <c r="J332" i="17"/>
  <c r="S600" i="17"/>
  <c r="S604" i="17"/>
  <c r="S601" i="17"/>
  <c r="S603" i="17"/>
  <c r="S602" i="17"/>
  <c r="Q328" i="17"/>
  <c r="Q588" i="17"/>
  <c r="O386" i="17"/>
  <c r="O387" i="17" s="1"/>
  <c r="O385" i="17"/>
  <c r="L386" i="17"/>
  <c r="L387" i="17" s="1"/>
  <c r="L385" i="17"/>
  <c r="S386" i="17"/>
  <c r="S387" i="17" s="1"/>
  <c r="S385" i="17"/>
  <c r="Q386" i="17"/>
  <c r="Q387" i="17" s="1"/>
  <c r="Q385" i="17"/>
  <c r="M386" i="17"/>
  <c r="M387" i="17" s="1"/>
  <c r="M385" i="17"/>
  <c r="N578" i="17"/>
  <c r="O584" i="17"/>
  <c r="O599" i="17" s="1"/>
  <c r="P599" i="17"/>
  <c r="U328" i="17"/>
  <c r="U588" i="17"/>
  <c r="T386" i="17"/>
  <c r="T387" i="17" s="1"/>
  <c r="T385" i="17"/>
  <c r="N281" i="17"/>
  <c r="Q281" i="17"/>
  <c r="Q280" i="17"/>
  <c r="R281" i="17"/>
  <c r="R280" i="17"/>
  <c r="P281" i="17"/>
  <c r="P280" i="17"/>
  <c r="O281" i="17"/>
  <c r="O280" i="17"/>
  <c r="S281" i="17"/>
  <c r="S280" i="17"/>
  <c r="Q297" i="17"/>
  <c r="N298" i="17"/>
  <c r="P297" i="17"/>
  <c r="P298" i="17"/>
  <c r="O298" i="17"/>
  <c r="O297" i="17"/>
  <c r="T296" i="17"/>
  <c r="T298" i="17"/>
  <c r="T297" i="17"/>
  <c r="S41" i="17"/>
  <c r="R297" i="17"/>
  <c r="R298" i="17"/>
  <c r="AC378" i="17"/>
  <c r="AC382" i="17" s="1"/>
  <c r="AC384" i="17" s="1"/>
  <c r="Q298" i="17"/>
  <c r="U297" i="17"/>
  <c r="U41" i="17"/>
  <c r="R41" i="17"/>
  <c r="Q41" i="17"/>
  <c r="AE378" i="17"/>
  <c r="AE382" i="17" s="1"/>
  <c r="AE384" i="17" s="1"/>
  <c r="AA378" i="17"/>
  <c r="AA382" i="17" s="1"/>
  <c r="AA384" i="17" s="1"/>
  <c r="Z378" i="17"/>
  <c r="Z382" i="17" s="1"/>
  <c r="Z384" i="17" s="1"/>
  <c r="Z385" i="17" s="1"/>
  <c r="AF378" i="17"/>
  <c r="AF382" i="17" s="1"/>
  <c r="AF384" i="17" s="1"/>
  <c r="AF385" i="17" s="1"/>
  <c r="M41" i="17"/>
  <c r="U386" i="17"/>
  <c r="AG378" i="17"/>
  <c r="AG382" i="17" s="1"/>
  <c r="AG384" i="17" s="1"/>
  <c r="AG385" i="17" s="1"/>
  <c r="AD378" i="17"/>
  <c r="AB378" i="17"/>
  <c r="AB382" i="17" s="1"/>
  <c r="AB384" i="17" s="1"/>
  <c r="AB385" i="17" s="1"/>
  <c r="O361" i="17"/>
  <c r="R305" i="17"/>
  <c r="M332" i="17"/>
  <c r="N41" i="17"/>
  <c r="L303" i="17"/>
  <c r="L328" i="17"/>
  <c r="S328" i="17"/>
  <c r="N328" i="17"/>
  <c r="S200" i="17"/>
  <c r="L41" i="17"/>
  <c r="T125" i="17"/>
  <c r="P41" i="17"/>
  <c r="O41" i="17"/>
  <c r="R302" i="17"/>
  <c r="U125" i="17"/>
  <c r="M301" i="17"/>
  <c r="AC258" i="17"/>
  <c r="AC254" i="17"/>
  <c r="AC255" i="17"/>
  <c r="AC256" i="17"/>
  <c r="AC257" i="17"/>
  <c r="R301" i="17"/>
  <c r="R125" i="17"/>
  <c r="AB124" i="17"/>
  <c r="AB225" i="17"/>
  <c r="AB250" i="17" s="1"/>
  <c r="Y124" i="17"/>
  <c r="Y125" i="17" s="1"/>
  <c r="Y225" i="17"/>
  <c r="AD257" i="17"/>
  <c r="AD254" i="17"/>
  <c r="AD258" i="17"/>
  <c r="AD255" i="17"/>
  <c r="AD256" i="17"/>
  <c r="AE255" i="17"/>
  <c r="AE258" i="17"/>
  <c r="AE256" i="17"/>
  <c r="AE257" i="17"/>
  <c r="AE254" i="17"/>
  <c r="Z124" i="17"/>
  <c r="Z125" i="17" s="1"/>
  <c r="Z225" i="17"/>
  <c r="Z247" i="17" s="1"/>
  <c r="AF124" i="17"/>
  <c r="AF225" i="17"/>
  <c r="AA255" i="17"/>
  <c r="AA256" i="17"/>
  <c r="AA257" i="17"/>
  <c r="AA254" i="17"/>
  <c r="AA258" i="17"/>
  <c r="L301" i="17"/>
  <c r="AH124" i="17"/>
  <c r="AH225" i="17"/>
  <c r="AG124" i="17"/>
  <c r="AG225" i="17"/>
  <c r="AG250" i="17" s="1"/>
  <c r="Q125" i="17"/>
  <c r="L302" i="17"/>
  <c r="L305" i="17"/>
  <c r="M305" i="17"/>
  <c r="L304" i="17"/>
  <c r="S199" i="17"/>
  <c r="O203" i="17"/>
  <c r="O305" i="17" s="1"/>
  <c r="P212" i="17"/>
  <c r="M303" i="17"/>
  <c r="P204" i="17"/>
  <c r="P285" i="17" s="1"/>
  <c r="P125" i="17"/>
  <c r="M304" i="17"/>
  <c r="O200" i="17"/>
  <c r="O302" i="17" s="1"/>
  <c r="M212" i="17"/>
  <c r="S201" i="17"/>
  <c r="S303" i="17" s="1"/>
  <c r="R303" i="17"/>
  <c r="T302" i="17"/>
  <c r="Q200" i="17"/>
  <c r="J204" i="17"/>
  <c r="J285" i="17" s="1"/>
  <c r="R304" i="17"/>
  <c r="M302" i="17"/>
  <c r="K204" i="17"/>
  <c r="K285" i="17" s="1"/>
  <c r="N201" i="17"/>
  <c r="N303" i="17" s="1"/>
  <c r="M204" i="17"/>
  <c r="M285" i="17" s="1"/>
  <c r="N203" i="17"/>
  <c r="N305" i="17" s="1"/>
  <c r="N200" i="17"/>
  <c r="P302" i="17" s="1"/>
  <c r="Q199" i="17"/>
  <c r="U249" i="17"/>
  <c r="M249" i="17"/>
  <c r="Q248" i="17"/>
  <c r="U247" i="17"/>
  <c r="M247" i="17"/>
  <c r="Q246" i="17"/>
  <c r="S248" i="17"/>
  <c r="T249" i="17"/>
  <c r="L249" i="17"/>
  <c r="P248" i="17"/>
  <c r="T247" i="17"/>
  <c r="L247" i="17"/>
  <c r="P246" i="17"/>
  <c r="O249" i="17"/>
  <c r="S249" i="17"/>
  <c r="K249" i="17"/>
  <c r="O248" i="17"/>
  <c r="S247" i="17"/>
  <c r="K247" i="17"/>
  <c r="O246" i="17"/>
  <c r="S250" i="17"/>
  <c r="S246" i="17"/>
  <c r="R249" i="17"/>
  <c r="J249" i="17"/>
  <c r="N248" i="17"/>
  <c r="R247" i="17"/>
  <c r="J247" i="17"/>
  <c r="N246" i="17"/>
  <c r="K248" i="17"/>
  <c r="K246" i="17"/>
  <c r="Q249" i="17"/>
  <c r="U248" i="17"/>
  <c r="M248" i="17"/>
  <c r="Q247" i="17"/>
  <c r="U246" i="17"/>
  <c r="M246" i="17"/>
  <c r="K250" i="17"/>
  <c r="P249" i="17"/>
  <c r="T248" i="17"/>
  <c r="L248" i="17"/>
  <c r="P247" i="17"/>
  <c r="T246" i="17"/>
  <c r="L246" i="17"/>
  <c r="O247" i="17"/>
  <c r="J250" i="17"/>
  <c r="N249" i="17"/>
  <c r="R248" i="17"/>
  <c r="J248" i="17"/>
  <c r="N247" i="17"/>
  <c r="R246" i="17"/>
  <c r="J246" i="17"/>
  <c r="N250" i="17"/>
  <c r="T250" i="17"/>
  <c r="R250" i="17"/>
  <c r="M250" i="17"/>
  <c r="U250" i="17"/>
  <c r="P250" i="17"/>
  <c r="L250" i="17"/>
  <c r="O250" i="17"/>
  <c r="Q250" i="17"/>
  <c r="O202" i="17"/>
  <c r="O304" i="17" s="1"/>
  <c r="O201" i="17"/>
  <c r="O303" i="17" s="1"/>
  <c r="N199" i="17"/>
  <c r="N301" i="17" s="1"/>
  <c r="S202" i="17"/>
  <c r="S304" i="17" s="1"/>
  <c r="S203" i="17"/>
  <c r="S305" i="17" s="1"/>
  <c r="T303" i="17"/>
  <c r="T301" i="17"/>
  <c r="N304" i="17"/>
  <c r="T305" i="17"/>
  <c r="T304" i="17"/>
  <c r="P304" i="17"/>
  <c r="L212" i="17"/>
  <c r="R204" i="17"/>
  <c r="R285" i="17" s="1"/>
  <c r="R212" i="17"/>
  <c r="T204" i="17"/>
  <c r="O301" i="17"/>
  <c r="L204" i="17"/>
  <c r="L285" i="17" s="1"/>
  <c r="AA124" i="17"/>
  <c r="AA125" i="17" s="1"/>
  <c r="S125" i="17"/>
  <c r="AA122" i="17"/>
  <c r="P167" i="15" s="1"/>
  <c r="AE122" i="17"/>
  <c r="T167" i="15" s="1"/>
  <c r="AC122" i="17"/>
  <c r="R167" i="15" s="1"/>
  <c r="AE124" i="17"/>
  <c r="AC124" i="17"/>
  <c r="AD122" i="17"/>
  <c r="S167" i="15" s="1"/>
  <c r="Y122" i="17"/>
  <c r="N167" i="15" s="1"/>
  <c r="AD124" i="17"/>
  <c r="AG122" i="17"/>
  <c r="AH122" i="17"/>
  <c r="AB122" i="17"/>
  <c r="Q167" i="15" s="1"/>
  <c r="Z122" i="17"/>
  <c r="O167" i="15" s="1"/>
  <c r="AF122" i="17"/>
  <c r="U167" i="15" s="1"/>
  <c r="T41" i="17"/>
  <c r="P259" i="17" l="1"/>
  <c r="J130" i="16"/>
  <c r="T212" i="17"/>
  <c r="N677" i="17"/>
  <c r="N685" i="17" s="1"/>
  <c r="N329" i="17"/>
  <c r="N330" i="17"/>
  <c r="J336" i="17"/>
  <c r="J334" i="17"/>
  <c r="J333" i="17"/>
  <c r="Z376" i="17"/>
  <c r="Z375" i="17"/>
  <c r="S677" i="17"/>
  <c r="S685" i="17" s="1"/>
  <c r="S330" i="17"/>
  <c r="S329" i="17"/>
  <c r="AD376" i="17"/>
  <c r="AD375" i="17"/>
  <c r="T329" i="17"/>
  <c r="T330" i="17"/>
  <c r="L677" i="17"/>
  <c r="L685" i="17" s="1"/>
  <c r="L329" i="17"/>
  <c r="L330" i="17"/>
  <c r="Q332" i="17"/>
  <c r="Q330" i="17"/>
  <c r="Q329" i="17"/>
  <c r="P677" i="17"/>
  <c r="P685" i="17" s="1"/>
  <c r="P330" i="17"/>
  <c r="P329" i="17"/>
  <c r="AG376" i="17"/>
  <c r="AG375" i="17"/>
  <c r="AC375" i="17"/>
  <c r="AC376" i="17"/>
  <c r="L231" i="16"/>
  <c r="L230" i="16"/>
  <c r="AF376" i="17"/>
  <c r="AF375" i="17"/>
  <c r="K181" i="16"/>
  <c r="U330" i="17"/>
  <c r="U329" i="17"/>
  <c r="O332" i="17"/>
  <c r="O330" i="17"/>
  <c r="O329" i="17"/>
  <c r="K540" i="17"/>
  <c r="K334" i="17"/>
  <c r="K333" i="17"/>
  <c r="Y376" i="17"/>
  <c r="Y375" i="17"/>
  <c r="AB375" i="17"/>
  <c r="AB376" i="17"/>
  <c r="AH378" i="17"/>
  <c r="AH376" i="17"/>
  <c r="AH375" i="17"/>
  <c r="M333" i="17"/>
  <c r="M334" i="17"/>
  <c r="R332" i="17"/>
  <c r="R329" i="17"/>
  <c r="R330" i="17"/>
  <c r="N386" i="17"/>
  <c r="N387" i="17" s="1"/>
  <c r="N385" i="17"/>
  <c r="AA375" i="17"/>
  <c r="AA376" i="17"/>
  <c r="AE376" i="17"/>
  <c r="AE375" i="17"/>
  <c r="U212" i="17"/>
  <c r="K133" i="16" s="1"/>
  <c r="K259" i="17"/>
  <c r="T285" i="17"/>
  <c r="J125" i="16"/>
  <c r="U204" i="17"/>
  <c r="U213" i="17" s="1"/>
  <c r="K135" i="16" s="1"/>
  <c r="K123" i="16"/>
  <c r="J259" i="17"/>
  <c r="O391" i="17"/>
  <c r="O392" i="17" s="1"/>
  <c r="O394" i="17"/>
  <c r="AE99" i="18" a="1"/>
  <c r="AE99" i="18" s="1"/>
  <c r="AE37" i="18" a="1"/>
  <c r="AE37" i="18" s="1"/>
  <c r="AE40" i="18" s="1"/>
  <c r="AE35" i="18" a="1"/>
  <c r="AE35" i="18" s="1"/>
  <c r="AE66" i="18" a="1"/>
  <c r="AE66" i="18" s="1"/>
  <c r="AE107" i="18" a="1"/>
  <c r="AE107" i="18" s="1"/>
  <c r="AE96" i="18" a="1"/>
  <c r="AE96" i="18" s="1"/>
  <c r="AE80" i="18" a="1"/>
  <c r="AE80" i="18" s="1"/>
  <c r="AE81" i="18" a="1"/>
  <c r="AE81" i="18" s="1"/>
  <c r="AE103" i="18" a="1"/>
  <c r="AE103" i="18" s="1"/>
  <c r="AE98" i="18" a="1"/>
  <c r="AE98" i="18" s="1"/>
  <c r="AE12" i="18" a="1"/>
  <c r="AE12" i="18" s="1"/>
  <c r="AE105" i="18" a="1"/>
  <c r="AE105" i="18" s="1"/>
  <c r="AE22" i="18" a="1"/>
  <c r="AE22" i="18" s="1"/>
  <c r="AE20" i="18" a="1"/>
  <c r="AE20" i="18" s="1"/>
  <c r="AE10" i="18" a="1"/>
  <c r="AE10" i="18" s="1"/>
  <c r="AE30" i="18" a="1"/>
  <c r="AE30" i="18" s="1"/>
  <c r="AE32" i="18" a="1"/>
  <c r="AE32" i="18" s="1"/>
  <c r="AE33" i="18" a="1"/>
  <c r="AE33" i="18" s="1"/>
  <c r="AE18" i="18" a="1"/>
  <c r="AE18" i="18" s="1"/>
  <c r="AE94" i="18" a="1"/>
  <c r="AE94" i="18" s="1"/>
  <c r="AE104" i="18" a="1"/>
  <c r="AE104" i="18" s="1"/>
  <c r="AE59" i="18" a="1"/>
  <c r="AE59" i="18" s="1"/>
  <c r="AE60" i="18" s="1"/>
  <c r="AE67" i="18" a="1"/>
  <c r="AE67" i="18" s="1"/>
  <c r="AE62" i="18" a="1"/>
  <c r="AE62" i="18" s="1"/>
  <c r="AE15" i="18" a="1"/>
  <c r="AE15" i="18" s="1"/>
  <c r="AE57" i="18" a="1"/>
  <c r="AE57" i="18" s="1"/>
  <c r="AE58" i="18" s="1"/>
  <c r="AF6" i="18"/>
  <c r="AE110" i="18" a="1"/>
  <c r="AE110" i="18" s="1"/>
  <c r="AE93" i="18" a="1"/>
  <c r="AE93" i="18" s="1"/>
  <c r="AE95" i="18" a="1"/>
  <c r="AE95" i="18" s="1"/>
  <c r="AE102" i="18" a="1"/>
  <c r="AE102" i="18" s="1"/>
  <c r="AE11" i="18" a="1"/>
  <c r="AE11" i="18" s="1"/>
  <c r="AE34" i="18" a="1"/>
  <c r="AE34" i="18" s="1"/>
  <c r="AE100" i="18" a="1"/>
  <c r="AE100" i="18" s="1"/>
  <c r="AE17" i="18" a="1"/>
  <c r="AE17" i="18" s="1"/>
  <c r="AE79" i="18" a="1"/>
  <c r="AE79" i="18" s="1"/>
  <c r="AE27" i="18" a="1"/>
  <c r="AE27" i="18" s="1"/>
  <c r="AE97" i="18" a="1"/>
  <c r="AE97" i="18" s="1"/>
  <c r="AE109" i="18" a="1"/>
  <c r="AE109" i="18" s="1"/>
  <c r="AE108" i="18" a="1"/>
  <c r="AE108" i="18" s="1"/>
  <c r="AE64" i="18" a="1"/>
  <c r="AE64" i="18" s="1"/>
  <c r="AE106" i="18" a="1"/>
  <c r="AE106" i="18" s="1"/>
  <c r="AE31" i="18" a="1"/>
  <c r="AE31" i="18" s="1"/>
  <c r="AE101" i="18" a="1"/>
  <c r="AE101" i="18" s="1"/>
  <c r="S302" i="17"/>
  <c r="T259" i="17"/>
  <c r="L160" i="16" s="1"/>
  <c r="U281" i="17"/>
  <c r="T280" i="17"/>
  <c r="T677" i="17"/>
  <c r="T685" i="17" s="1"/>
  <c r="J181" i="16"/>
  <c r="T281" i="17"/>
  <c r="N534" i="16"/>
  <c r="M596" i="16"/>
  <c r="M383" i="18" s="1"/>
  <c r="M202" i="16"/>
  <c r="M293" i="18" s="1"/>
  <c r="N232" i="16"/>
  <c r="T530" i="16"/>
  <c r="T532" i="16" s="1"/>
  <c r="S372" i="16"/>
  <c r="R511" i="16"/>
  <c r="R513" i="16" s="1"/>
  <c r="Q361" i="16"/>
  <c r="R325" i="16"/>
  <c r="Q487" i="16"/>
  <c r="O156" i="15"/>
  <c r="O153" i="15" s="1" a="1"/>
  <c r="O153" i="15" s="1"/>
  <c r="O150" i="16" s="1"/>
  <c r="O154" i="16" s="1"/>
  <c r="O516" i="16"/>
  <c r="K457" i="16"/>
  <c r="K458" i="16"/>
  <c r="K455" i="16"/>
  <c r="K454" i="16"/>
  <c r="U259" i="17"/>
  <c r="M160" i="16" s="1"/>
  <c r="R213" i="17"/>
  <c r="AH249" i="17"/>
  <c r="AH250" i="17"/>
  <c r="AF248" i="17"/>
  <c r="AF250" i="17"/>
  <c r="O396" i="16"/>
  <c r="M241" i="16"/>
  <c r="M242" i="16" s="1"/>
  <c r="M240" i="16"/>
  <c r="L233" i="16"/>
  <c r="K241" i="16"/>
  <c r="K242" i="16" s="1"/>
  <c r="K240" i="16"/>
  <c r="J241" i="16"/>
  <c r="J242" i="16" s="1"/>
  <c r="J240" i="16"/>
  <c r="M213" i="17"/>
  <c r="N156" i="15"/>
  <c r="N153" i="15" s="1" a="1"/>
  <c r="N153" i="15" s="1"/>
  <c r="N150" i="16" s="1"/>
  <c r="N154" i="16" s="1"/>
  <c r="S156" i="15"/>
  <c r="S153" i="15" s="1" a="1"/>
  <c r="S153" i="15" s="1"/>
  <c r="S150" i="16" s="1"/>
  <c r="T156" i="15"/>
  <c r="T153" i="15" s="1" a="1"/>
  <c r="T153" i="15" s="1"/>
  <c r="T150" i="16" s="1"/>
  <c r="S157" i="15"/>
  <c r="R156" i="15"/>
  <c r="R153" i="15" s="1" a="1"/>
  <c r="R153" i="15" s="1"/>
  <c r="R150" i="16" s="1"/>
  <c r="P153" i="15" a="1"/>
  <c r="P153" i="15" s="1"/>
  <c r="P150" i="16" s="1"/>
  <c r="P154" i="16" s="1"/>
  <c r="R157" i="15"/>
  <c r="U156" i="15"/>
  <c r="U153" i="15" s="1" a="1"/>
  <c r="U153" i="15" s="1"/>
  <c r="U150" i="16" s="1"/>
  <c r="P157" i="15"/>
  <c r="L213" i="17"/>
  <c r="P213" i="17"/>
  <c r="Q153" i="15" a="1"/>
  <c r="Q153" i="15" s="1"/>
  <c r="Q150" i="16" s="1"/>
  <c r="Q154" i="16" s="1"/>
  <c r="J213" i="17"/>
  <c r="K213" i="17"/>
  <c r="Z246" i="17"/>
  <c r="K676" i="17"/>
  <c r="K684" i="17" s="1"/>
  <c r="R151" i="15"/>
  <c r="R150" i="15"/>
  <c r="R147" i="15" s="1" a="1"/>
  <c r="R147" i="15" s="1"/>
  <c r="R149" i="16" s="1"/>
  <c r="Z248" i="17"/>
  <c r="Q151" i="15"/>
  <c r="Q150" i="15"/>
  <c r="Q147" i="15" s="1" a="1"/>
  <c r="Q147" i="15" s="1"/>
  <c r="Q149" i="16" s="1"/>
  <c r="Q153" i="16" s="1"/>
  <c r="AB247" i="17"/>
  <c r="P151" i="15"/>
  <c r="P150" i="15"/>
  <c r="P147" i="15" s="1" a="1"/>
  <c r="P147" i="15" s="1"/>
  <c r="P149" i="16" s="1"/>
  <c r="P153" i="16" s="1"/>
  <c r="Q157" i="15"/>
  <c r="N151" i="15"/>
  <c r="N150" i="15"/>
  <c r="N147" i="15" s="1" a="1"/>
  <c r="N147" i="15" s="1"/>
  <c r="N149" i="16" s="1"/>
  <c r="N153" i="16" s="1"/>
  <c r="AB248" i="17"/>
  <c r="Z365" i="17"/>
  <c r="Z250" i="17"/>
  <c r="O151" i="15"/>
  <c r="O150" i="15"/>
  <c r="O147" i="15" s="1" a="1"/>
  <c r="O147" i="15" s="1"/>
  <c r="O149" i="16" s="1"/>
  <c r="O153" i="16" s="1"/>
  <c r="Y248" i="17"/>
  <c r="Y254" i="17"/>
  <c r="Y250" i="17"/>
  <c r="AB246" i="17"/>
  <c r="S151" i="15"/>
  <c r="S150" i="15"/>
  <c r="S147" i="15" s="1" a="1"/>
  <c r="S147" i="15" s="1"/>
  <c r="S149" i="16" s="1"/>
  <c r="U151" i="15"/>
  <c r="U150" i="15"/>
  <c r="U147" i="15" s="1" a="1"/>
  <c r="U147" i="15" s="1"/>
  <c r="U149" i="16" s="1"/>
  <c r="T151" i="15"/>
  <c r="T150" i="15"/>
  <c r="T147" i="15" s="1" a="1"/>
  <c r="T147" i="15" s="1"/>
  <c r="T149" i="16" s="1"/>
  <c r="Z249" i="17"/>
  <c r="AB249" i="17"/>
  <c r="U280" i="17"/>
  <c r="T168" i="15"/>
  <c r="T165" i="15" s="1" a="1"/>
  <c r="T165" i="15" s="1"/>
  <c r="T41" i="16" s="1"/>
  <c r="T169" i="15"/>
  <c r="N168" i="15"/>
  <c r="N165" i="15" s="1" a="1"/>
  <c r="N165" i="15" s="1"/>
  <c r="N41" i="16" s="1"/>
  <c r="N42" i="16" s="1"/>
  <c r="N169" i="15"/>
  <c r="P169" i="15"/>
  <c r="P168" i="15"/>
  <c r="P165" i="15" s="1" a="1"/>
  <c r="P165" i="15" s="1"/>
  <c r="P41" i="16" s="1"/>
  <c r="P42" i="16" s="1"/>
  <c r="S169" i="15"/>
  <c r="S168" i="15"/>
  <c r="S165" i="15" s="1" a="1"/>
  <c r="S165" i="15" s="1"/>
  <c r="S41" i="16" s="1"/>
  <c r="U169" i="15"/>
  <c r="U168" i="15"/>
  <c r="U165" i="15" s="1" a="1"/>
  <c r="U165" i="15" s="1"/>
  <c r="U41" i="16" s="1"/>
  <c r="O168" i="15"/>
  <c r="O165" i="15" s="1" a="1"/>
  <c r="O165" i="15" s="1"/>
  <c r="O41" i="16" s="1"/>
  <c r="O42" i="16" s="1"/>
  <c r="O169" i="15"/>
  <c r="Q168" i="15"/>
  <c r="Q165" i="15" s="1" a="1"/>
  <c r="Q165" i="15" s="1"/>
  <c r="Q41" i="16" s="1"/>
  <c r="Q42" i="16" s="1"/>
  <c r="Q169" i="15"/>
  <c r="R169" i="15"/>
  <c r="R168" i="15"/>
  <c r="R165" i="15" s="1" a="1"/>
  <c r="R165" i="15" s="1"/>
  <c r="R41" i="16" s="1"/>
  <c r="O161" i="15"/>
  <c r="P161" i="15"/>
  <c r="N161" i="15"/>
  <c r="T332" i="17"/>
  <c r="P332" i="17"/>
  <c r="P395" i="17"/>
  <c r="R387" i="17"/>
  <c r="K336" i="17"/>
  <c r="K344" i="17" s="1"/>
  <c r="K345" i="17" s="1"/>
  <c r="K247" i="16"/>
  <c r="M578" i="17"/>
  <c r="N584" i="17"/>
  <c r="AC386" i="17"/>
  <c r="AC387" i="17" s="1"/>
  <c r="AC385" i="17"/>
  <c r="J344" i="17"/>
  <c r="J345" i="17" s="1"/>
  <c r="J343" i="17"/>
  <c r="J541" i="17" s="1"/>
  <c r="AA386" i="17"/>
  <c r="AA387" i="17" s="1"/>
  <c r="AA385" i="17"/>
  <c r="U604" i="17"/>
  <c r="U601" i="17"/>
  <c r="U603" i="17"/>
  <c r="U600" i="17"/>
  <c r="Q677" i="17"/>
  <c r="Q685" i="17" s="1"/>
  <c r="O603" i="17"/>
  <c r="O601" i="17"/>
  <c r="O600" i="17"/>
  <c r="O604" i="17"/>
  <c r="O602" i="17"/>
  <c r="AE386" i="17"/>
  <c r="AE387" i="17" s="1"/>
  <c r="AE385" i="17"/>
  <c r="O677" i="17"/>
  <c r="O685" i="17" s="1"/>
  <c r="U677" i="17"/>
  <c r="U685" i="17" s="1"/>
  <c r="Q676" i="17"/>
  <c r="Q684" i="17" s="1"/>
  <c r="Q540" i="17"/>
  <c r="M676" i="17"/>
  <c r="M684" i="17" s="1"/>
  <c r="M540" i="17"/>
  <c r="L247" i="16"/>
  <c r="T604" i="17"/>
  <c r="T601" i="17"/>
  <c r="T603" i="17"/>
  <c r="T600" i="17"/>
  <c r="T602" i="17"/>
  <c r="O676" i="17"/>
  <c r="O684" i="17" s="1"/>
  <c r="O540" i="17"/>
  <c r="U332" i="17"/>
  <c r="J676" i="17"/>
  <c r="J684" i="17" s="1"/>
  <c r="J540" i="17"/>
  <c r="R604" i="17"/>
  <c r="R601" i="17"/>
  <c r="R600" i="17"/>
  <c r="R603" i="17"/>
  <c r="R602" i="17"/>
  <c r="Q600" i="17"/>
  <c r="Q601" i="17"/>
  <c r="Q603" i="17"/>
  <c r="Q604" i="17"/>
  <c r="Q602" i="17"/>
  <c r="R677" i="17"/>
  <c r="R685" i="17" s="1"/>
  <c r="L259" i="17"/>
  <c r="L288" i="17"/>
  <c r="M288" i="17"/>
  <c r="P287" i="17"/>
  <c r="R287" i="17"/>
  <c r="R288" i="17"/>
  <c r="T288" i="17"/>
  <c r="T286" i="17"/>
  <c r="AH247" i="17"/>
  <c r="M247" i="16"/>
  <c r="U387" i="17"/>
  <c r="Y246" i="17"/>
  <c r="N361" i="17"/>
  <c r="AH248" i="17"/>
  <c r="AH365" i="17"/>
  <c r="AF247" i="17"/>
  <c r="AF365" i="17"/>
  <c r="Y386" i="17"/>
  <c r="Y387" i="17" s="1"/>
  <c r="Y247" i="17"/>
  <c r="AB365" i="17"/>
  <c r="AB386" i="17"/>
  <c r="AB387" i="17" s="1"/>
  <c r="AG386" i="17"/>
  <c r="AG387" i="17" s="1"/>
  <c r="Y249" i="17"/>
  <c r="Y365" i="17"/>
  <c r="AF386" i="17"/>
  <c r="AF387" i="17" s="1"/>
  <c r="AD382" i="17"/>
  <c r="AD384" i="17" s="1"/>
  <c r="Z386" i="17"/>
  <c r="Z387" i="17" s="1"/>
  <c r="AG247" i="17"/>
  <c r="AG365" i="17"/>
  <c r="Q336" i="17"/>
  <c r="O336" i="17"/>
  <c r="M336" i="17"/>
  <c r="AC125" i="17"/>
  <c r="S301" i="17"/>
  <c r="AG246" i="17"/>
  <c r="N332" i="17"/>
  <c r="AF125" i="17"/>
  <c r="S332" i="17"/>
  <c r="AH246" i="17"/>
  <c r="L332" i="17"/>
  <c r="R259" i="17"/>
  <c r="AB125" i="17"/>
  <c r="AD125" i="17"/>
  <c r="AF249" i="17"/>
  <c r="AF246" i="17"/>
  <c r="Q204" i="17"/>
  <c r="Q285" i="17" s="1"/>
  <c r="N302" i="17"/>
  <c r="M259" i="17"/>
  <c r="Z258" i="17"/>
  <c r="Z256" i="17"/>
  <c r="Z254" i="17"/>
  <c r="Z257" i="17"/>
  <c r="Z255" i="17"/>
  <c r="AG248" i="17"/>
  <c r="AG249" i="17"/>
  <c r="AB258" i="17"/>
  <c r="AB254" i="17"/>
  <c r="AB256" i="17"/>
  <c r="AB255" i="17"/>
  <c r="AB257" i="17"/>
  <c r="AG256" i="17"/>
  <c r="AG254" i="17"/>
  <c r="AG257" i="17"/>
  <c r="AG258" i="17"/>
  <c r="AG255" i="17"/>
  <c r="AH257" i="17"/>
  <c r="AH256" i="17"/>
  <c r="AH258" i="17"/>
  <c r="AH254" i="17"/>
  <c r="AH255" i="17"/>
  <c r="AF258" i="17"/>
  <c r="AF257" i="17"/>
  <c r="AF254" i="17"/>
  <c r="AF255" i="17"/>
  <c r="AF256" i="17"/>
  <c r="Y258" i="17"/>
  <c r="Y255" i="17"/>
  <c r="Y257" i="17"/>
  <c r="Y256" i="17"/>
  <c r="N212" i="17"/>
  <c r="Q212" i="17"/>
  <c r="P301" i="17"/>
  <c r="J251" i="17"/>
  <c r="J260" i="17" s="1"/>
  <c r="M251" i="17"/>
  <c r="L251" i="17"/>
  <c r="Q259" i="17"/>
  <c r="U251" i="17"/>
  <c r="M159" i="16" s="1"/>
  <c r="Q251" i="17"/>
  <c r="O259" i="17"/>
  <c r="AA259" i="17"/>
  <c r="N251" i="17"/>
  <c r="R251" i="17"/>
  <c r="J159" i="16" s="1"/>
  <c r="P305" i="17"/>
  <c r="O251" i="17"/>
  <c r="T251" i="17"/>
  <c r="L159" i="16" s="1"/>
  <c r="P251" i="17"/>
  <c r="P260" i="17" s="1"/>
  <c r="S259" i="17"/>
  <c r="N204" i="17"/>
  <c r="N285" i="17" s="1"/>
  <c r="N288" i="17" s="1"/>
  <c r="P303" i="17"/>
  <c r="K251" i="17"/>
  <c r="K260" i="17" s="1"/>
  <c r="S251" i="17"/>
  <c r="K159" i="16" s="1"/>
  <c r="N259" i="17"/>
  <c r="U305" i="17"/>
  <c r="U303" i="17"/>
  <c r="U304" i="17"/>
  <c r="U301" i="17"/>
  <c r="Q301" i="17"/>
  <c r="Q303" i="17"/>
  <c r="U302" i="17"/>
  <c r="Q305" i="17"/>
  <c r="Q304" i="17"/>
  <c r="Q302" i="17"/>
  <c r="O204" i="17"/>
  <c r="O285" i="17" s="1"/>
  <c r="O212" i="17"/>
  <c r="S212" i="17"/>
  <c r="S204" i="17"/>
  <c r="S285" i="17" s="1"/>
  <c r="AE125" i="17"/>
  <c r="AH125" i="17"/>
  <c r="AG125" i="17"/>
  <c r="J133" i="16" l="1"/>
  <c r="T213" i="17"/>
  <c r="J135" i="16" s="1"/>
  <c r="K136" i="16" s="1"/>
  <c r="AH382" i="17"/>
  <c r="AH384" i="17" s="1"/>
  <c r="AH385" i="17" s="1"/>
  <c r="AH386" i="17"/>
  <c r="AH387" i="17" s="1"/>
  <c r="R336" i="17"/>
  <c r="R676" i="17"/>
  <c r="R684" i="17" s="1"/>
  <c r="R540" i="17"/>
  <c r="N333" i="17"/>
  <c r="N334" i="17"/>
  <c r="J183" i="16"/>
  <c r="J182" i="16"/>
  <c r="L334" i="17"/>
  <c r="L333" i="17"/>
  <c r="O333" i="17"/>
  <c r="O334" i="17"/>
  <c r="U333" i="17"/>
  <c r="U334" i="17"/>
  <c r="P336" i="17"/>
  <c r="P333" i="17"/>
  <c r="P334" i="17"/>
  <c r="R334" i="17"/>
  <c r="R333" i="17"/>
  <c r="Q334" i="17"/>
  <c r="Q333" i="17"/>
  <c r="S334" i="17"/>
  <c r="S333" i="17"/>
  <c r="T334" i="17"/>
  <c r="T333" i="17"/>
  <c r="K183" i="16"/>
  <c r="K182" i="16"/>
  <c r="U285" i="17"/>
  <c r="K125" i="16"/>
  <c r="AF101" i="18" a="1"/>
  <c r="AF101" i="18" s="1"/>
  <c r="AF81" i="18" a="1"/>
  <c r="AF81" i="18" s="1"/>
  <c r="AF12" i="18" a="1"/>
  <c r="AF12" i="18" s="1"/>
  <c r="AF93" i="18" a="1"/>
  <c r="AF93" i="18" s="1"/>
  <c r="AF17" i="18" a="1"/>
  <c r="AF17" i="18" s="1"/>
  <c r="AF15" i="18" a="1"/>
  <c r="AF15" i="18" s="1"/>
  <c r="AF109" i="18" a="1"/>
  <c r="AF109" i="18" s="1"/>
  <c r="AF32" i="18" a="1"/>
  <c r="AF32" i="18" s="1"/>
  <c r="AG6" i="18"/>
  <c r="AF27" i="18" a="1"/>
  <c r="AF27" i="18" s="1"/>
  <c r="AF96" i="18" a="1"/>
  <c r="AF96" i="18" s="1"/>
  <c r="AF97" i="18" a="1"/>
  <c r="AF97" i="18" s="1"/>
  <c r="AF57" i="18" a="1"/>
  <c r="AF57" i="18" s="1"/>
  <c r="AF58" i="18" s="1"/>
  <c r="AF22" i="18" a="1"/>
  <c r="AF22" i="18" s="1"/>
  <c r="AF102" i="18" a="1"/>
  <c r="AF102" i="18" s="1"/>
  <c r="AF59" i="18" a="1"/>
  <c r="AF59" i="18" s="1"/>
  <c r="AF60" i="18" s="1"/>
  <c r="AF34" i="18" a="1"/>
  <c r="AF34" i="18" s="1"/>
  <c r="AF105" i="18" a="1"/>
  <c r="AF105" i="18" s="1"/>
  <c r="AF107" i="18" a="1"/>
  <c r="AF107" i="18" s="1"/>
  <c r="AF103" i="18" a="1"/>
  <c r="AF103" i="18" s="1"/>
  <c r="AF108" i="18" a="1"/>
  <c r="AF108" i="18" s="1"/>
  <c r="AF95" i="18" a="1"/>
  <c r="AF95" i="18" s="1"/>
  <c r="AF11" i="18" a="1"/>
  <c r="AF11" i="18" s="1"/>
  <c r="AF67" i="18" a="1"/>
  <c r="AF67" i="18" s="1"/>
  <c r="AF37" i="18" a="1"/>
  <c r="AF37" i="18" s="1"/>
  <c r="AF40" i="18" s="1"/>
  <c r="AF35" i="18" a="1"/>
  <c r="AF35" i="18" s="1"/>
  <c r="AF20" i="18" a="1"/>
  <c r="AF20" i="18" s="1"/>
  <c r="AF100" i="18" a="1"/>
  <c r="AF100" i="18" s="1"/>
  <c r="AF33" i="18" a="1"/>
  <c r="AF33" i="18" s="1"/>
  <c r="AF98" i="18" a="1"/>
  <c r="AF98" i="18" s="1"/>
  <c r="AF66" i="18" a="1"/>
  <c r="AF66" i="18" s="1"/>
  <c r="AF110" i="18" a="1"/>
  <c r="AF110" i="18" s="1"/>
  <c r="AF62" i="18" a="1"/>
  <c r="AF62" i="18" s="1"/>
  <c r="AF10" i="18" a="1"/>
  <c r="AF10" i="18" s="1"/>
  <c r="AF99" i="18" a="1"/>
  <c r="AF99" i="18" s="1"/>
  <c r="AF18" i="18" a="1"/>
  <c r="AF18" i="18" s="1"/>
  <c r="AF106" i="18" a="1"/>
  <c r="AF106" i="18" s="1"/>
  <c r="AF30" i="18" a="1"/>
  <c r="AF30" i="18" s="1"/>
  <c r="AF64" i="18" a="1"/>
  <c r="AF64" i="18" s="1"/>
  <c r="AF79" i="18" a="1"/>
  <c r="AF79" i="18" s="1"/>
  <c r="AF31" i="18" a="1"/>
  <c r="AF31" i="18" s="1"/>
  <c r="AF94" i="18" a="1"/>
  <c r="AF94" i="18" s="1"/>
  <c r="AF104" i="18" a="1"/>
  <c r="AF104" i="18" s="1"/>
  <c r="AF80" i="18" a="1"/>
  <c r="AF80" i="18" s="1"/>
  <c r="N391" i="17"/>
  <c r="N392" i="17" s="1"/>
  <c r="N394" i="17"/>
  <c r="S154" i="16"/>
  <c r="R154" i="16"/>
  <c r="U214" i="17"/>
  <c r="Q260" i="17"/>
  <c r="S153" i="16"/>
  <c r="T336" i="17"/>
  <c r="J185" i="16"/>
  <c r="K185" i="16"/>
  <c r="U153" i="16"/>
  <c r="T154" i="16"/>
  <c r="T153" i="16"/>
  <c r="U154" i="16"/>
  <c r="R153" i="16"/>
  <c r="O534" i="16"/>
  <c r="N596" i="16"/>
  <c r="N383" i="18" s="1"/>
  <c r="N202" i="16"/>
  <c r="N293" i="18" s="1"/>
  <c r="U530" i="16"/>
  <c r="U532" i="16" s="1"/>
  <c r="U372" i="16" s="1"/>
  <c r="T372" i="16"/>
  <c r="S511" i="16"/>
  <c r="S513" i="16" s="1"/>
  <c r="R361" i="16"/>
  <c r="S325" i="16"/>
  <c r="R487" i="16"/>
  <c r="P516" i="16"/>
  <c r="O213" i="17"/>
  <c r="P214" i="17" s="1"/>
  <c r="P396" i="16"/>
  <c r="M161" i="16"/>
  <c r="L241" i="16"/>
  <c r="L242" i="16" s="1"/>
  <c r="L240" i="16"/>
  <c r="Q147" i="16"/>
  <c r="Q217" i="16"/>
  <c r="P147" i="16"/>
  <c r="P217" i="16"/>
  <c r="N147" i="16"/>
  <c r="N160" i="16" s="1"/>
  <c r="N217" i="16"/>
  <c r="N218" i="16" s="1"/>
  <c r="O147" i="16"/>
  <c r="O160" i="16" s="1"/>
  <c r="O217" i="16"/>
  <c r="L161" i="16"/>
  <c r="U260" i="17"/>
  <c r="K160" i="16"/>
  <c r="K161" i="16" s="1"/>
  <c r="S260" i="17"/>
  <c r="J160" i="16"/>
  <c r="J161" i="16" s="1"/>
  <c r="R260" i="17"/>
  <c r="O260" i="17"/>
  <c r="O261" i="17" s="1"/>
  <c r="M260" i="17"/>
  <c r="L260" i="17"/>
  <c r="P261" i="17" s="1"/>
  <c r="L214" i="17"/>
  <c r="N260" i="17"/>
  <c r="N261" i="17" s="1"/>
  <c r="T260" i="17"/>
  <c r="T261" i="17" s="1"/>
  <c r="S213" i="17"/>
  <c r="N213" i="17"/>
  <c r="N214" i="17" s="1"/>
  <c r="Q213" i="17"/>
  <c r="M214" i="17"/>
  <c r="K214" i="17"/>
  <c r="N155" i="16"/>
  <c r="T42" i="16"/>
  <c r="U42" i="16"/>
  <c r="R42" i="16"/>
  <c r="S42" i="16"/>
  <c r="N163" i="15"/>
  <c r="N162" i="15"/>
  <c r="N159" i="15" s="1" a="1"/>
  <c r="N159" i="15" s="1"/>
  <c r="N37" i="16" s="1"/>
  <c r="N38" i="16" s="1"/>
  <c r="R161" i="15"/>
  <c r="P163" i="15"/>
  <c r="P162" i="15"/>
  <c r="P159" i="15" s="1" a="1"/>
  <c r="P159" i="15" s="1"/>
  <c r="P37" i="16" s="1"/>
  <c r="P38" i="16" s="1"/>
  <c r="T161" i="15"/>
  <c r="S161" i="15"/>
  <c r="U161" i="15"/>
  <c r="O162" i="15"/>
  <c r="O159" i="15" s="1" a="1"/>
  <c r="O159" i="15" s="1"/>
  <c r="O37" i="16" s="1"/>
  <c r="O38" i="16" s="1"/>
  <c r="O163" i="15"/>
  <c r="Q161" i="15"/>
  <c r="T540" i="17"/>
  <c r="T676" i="17"/>
  <c r="T684" i="17" s="1"/>
  <c r="R393" i="17"/>
  <c r="S393" i="17"/>
  <c r="P540" i="17"/>
  <c r="P676" i="17"/>
  <c r="P684" i="17" s="1"/>
  <c r="AC389" i="17"/>
  <c r="AC392" i="17" s="1"/>
  <c r="O395" i="17"/>
  <c r="T393" i="17"/>
  <c r="U393" i="17"/>
  <c r="K343" i="17"/>
  <c r="K541" i="17" s="1"/>
  <c r="K570" i="17" s="1"/>
  <c r="U336" i="17"/>
  <c r="N676" i="17"/>
  <c r="N684" i="17" s="1"/>
  <c r="N540" i="17"/>
  <c r="U676" i="17"/>
  <c r="U684" i="17" s="1"/>
  <c r="U540" i="17"/>
  <c r="K649" i="17"/>
  <c r="K544" i="17"/>
  <c r="K564" i="17" s="1"/>
  <c r="N602" i="17"/>
  <c r="N599" i="17"/>
  <c r="N601" i="17"/>
  <c r="N604" i="17"/>
  <c r="N603" i="17"/>
  <c r="N600" i="17"/>
  <c r="J542" i="17"/>
  <c r="J551" i="17" s="1"/>
  <c r="J543" i="17"/>
  <c r="L676" i="17"/>
  <c r="L684" i="17" s="1"/>
  <c r="L540" i="17"/>
  <c r="AD386" i="17"/>
  <c r="AD387" i="17" s="1"/>
  <c r="AD385" i="17"/>
  <c r="O344" i="17"/>
  <c r="O345" i="17" s="1"/>
  <c r="O343" i="17"/>
  <c r="O541" i="17" s="1"/>
  <c r="O570" i="17" s="1"/>
  <c r="AE389" i="17"/>
  <c r="AE392" i="17" s="1"/>
  <c r="L578" i="17"/>
  <c r="M584" i="17"/>
  <c r="M344" i="17"/>
  <c r="M345" i="17" s="1"/>
  <c r="M343" i="17"/>
  <c r="M541" i="17" s="1"/>
  <c r="M570" i="17" s="1"/>
  <c r="AA389" i="17"/>
  <c r="AA392" i="17" s="1"/>
  <c r="S676" i="17"/>
  <c r="S684" i="17" s="1"/>
  <c r="S540" i="17"/>
  <c r="J649" i="17"/>
  <c r="J544" i="17"/>
  <c r="P344" i="17"/>
  <c r="P345" i="17" s="1"/>
  <c r="P343" i="17"/>
  <c r="P541" i="17" s="1"/>
  <c r="P570" i="17" s="1"/>
  <c r="Q344" i="17"/>
  <c r="Q345" i="17" s="1"/>
  <c r="Q343" i="17"/>
  <c r="Q541" i="17" s="1"/>
  <c r="Q570" i="17" s="1"/>
  <c r="AH389" i="17"/>
  <c r="AH392" i="17" s="1"/>
  <c r="R344" i="17"/>
  <c r="R345" i="17" s="1"/>
  <c r="R343" i="17"/>
  <c r="R541" i="17" s="1"/>
  <c r="R570" i="17" s="1"/>
  <c r="S288" i="17"/>
  <c r="S287" i="17"/>
  <c r="Q287" i="17"/>
  <c r="Q288" i="17"/>
  <c r="P288" i="17"/>
  <c r="O287" i="17"/>
  <c r="O288" i="17"/>
  <c r="T287" i="17"/>
  <c r="U288" i="17"/>
  <c r="AB389" i="17"/>
  <c r="AB392" i="17" s="1"/>
  <c r="Z389" i="17"/>
  <c r="Z392" i="17" s="1"/>
  <c r="AF389" i="17"/>
  <c r="AF392" i="17" s="1"/>
  <c r="Y389" i="17"/>
  <c r="Y392" i="17" s="1"/>
  <c r="AG389" i="17"/>
  <c r="AG392" i="17" s="1"/>
  <c r="M361" i="17"/>
  <c r="N336" i="17"/>
  <c r="S336" i="17"/>
  <c r="L336" i="17"/>
  <c r="T264" i="17"/>
  <c r="R264" i="17"/>
  <c r="U264" i="17"/>
  <c r="S264" i="17"/>
  <c r="Y259" i="17"/>
  <c r="AF259" i="17"/>
  <c r="AH259" i="17"/>
  <c r="AG259" i="17"/>
  <c r="AD259" i="17"/>
  <c r="AC259" i="17"/>
  <c r="AB259" i="17"/>
  <c r="AE259" i="17"/>
  <c r="Z259" i="17"/>
  <c r="J189" i="16" l="1"/>
  <c r="T344" i="17"/>
  <c r="J187" i="16"/>
  <c r="J186" i="16"/>
  <c r="J575" i="16" s="1"/>
  <c r="K187" i="16"/>
  <c r="K186" i="16"/>
  <c r="K575" i="16" s="1"/>
  <c r="J574" i="16"/>
  <c r="K574" i="16"/>
  <c r="U287" i="17"/>
  <c r="U286" i="17"/>
  <c r="T343" i="17"/>
  <c r="M391" i="17"/>
  <c r="M392" i="17" s="1"/>
  <c r="M394" i="17"/>
  <c r="AG99" i="18" a="1"/>
  <c r="AG99" i="18" s="1"/>
  <c r="AG34" i="18" a="1"/>
  <c r="AG34" i="18" s="1"/>
  <c r="AG10" i="18" a="1"/>
  <c r="AG10" i="18" s="1"/>
  <c r="AG32" i="18" a="1"/>
  <c r="AG32" i="18" s="1"/>
  <c r="AG27" i="18" a="1"/>
  <c r="AG27" i="18" s="1"/>
  <c r="AG106" i="18" a="1"/>
  <c r="AG106" i="18" s="1"/>
  <c r="AG64" i="18" a="1"/>
  <c r="AG64" i="18" s="1"/>
  <c r="AG93" i="18" a="1"/>
  <c r="AG93" i="18" s="1"/>
  <c r="AG103" i="18" a="1"/>
  <c r="AG103" i="18" s="1"/>
  <c r="AG108" i="18" a="1"/>
  <c r="AG108" i="18" s="1"/>
  <c r="AG35" i="18" a="1"/>
  <c r="AG35" i="18" s="1"/>
  <c r="AG100" i="18" a="1"/>
  <c r="AG100" i="18" s="1"/>
  <c r="AG94" i="18" a="1"/>
  <c r="AG94" i="18" s="1"/>
  <c r="AG30" i="18" a="1"/>
  <c r="AG30" i="18" s="1"/>
  <c r="AG96" i="18" a="1"/>
  <c r="AG96" i="18" s="1"/>
  <c r="AG66" i="18" a="1"/>
  <c r="AG66" i="18" s="1"/>
  <c r="AG20" i="18" a="1"/>
  <c r="AG20" i="18" s="1"/>
  <c r="AG107" i="18" a="1"/>
  <c r="AG107" i="18" s="1"/>
  <c r="AG81" i="18" a="1"/>
  <c r="AG81" i="18" s="1"/>
  <c r="AG102" i="18" a="1"/>
  <c r="AG102" i="18" s="1"/>
  <c r="AH6" i="18"/>
  <c r="AG95" i="18" a="1"/>
  <c r="AG95" i="18" s="1"/>
  <c r="AG18" i="18" a="1"/>
  <c r="AG18" i="18" s="1"/>
  <c r="AG110" i="18" a="1"/>
  <c r="AG110" i="18" s="1"/>
  <c r="AG104" i="18" a="1"/>
  <c r="AG104" i="18" s="1"/>
  <c r="AG12" i="18" a="1"/>
  <c r="AG12" i="18" s="1"/>
  <c r="AG22" i="18" a="1"/>
  <c r="AG22" i="18" s="1"/>
  <c r="AG101" i="18" a="1"/>
  <c r="AG101" i="18" s="1"/>
  <c r="AG79" i="18" a="1"/>
  <c r="AG79" i="18" s="1"/>
  <c r="AG67" i="18" a="1"/>
  <c r="AG67" i="18" s="1"/>
  <c r="AG97" i="18" a="1"/>
  <c r="AG97" i="18" s="1"/>
  <c r="AG62" i="18" a="1"/>
  <c r="AG62" i="18" s="1"/>
  <c r="AG105" i="18" a="1"/>
  <c r="AG105" i="18" s="1"/>
  <c r="AG15" i="18" a="1"/>
  <c r="AG15" i="18" s="1"/>
  <c r="AG31" i="18" a="1"/>
  <c r="AG31" i="18" s="1"/>
  <c r="AG109" i="18" a="1"/>
  <c r="AG109" i="18" s="1"/>
  <c r="AG37" i="18" a="1"/>
  <c r="AG37" i="18" s="1"/>
  <c r="AG40" i="18" s="1"/>
  <c r="AG98" i="18" a="1"/>
  <c r="AG98" i="18" s="1"/>
  <c r="AG80" i="18" a="1"/>
  <c r="AG80" i="18" s="1"/>
  <c r="AG11" i="18" a="1"/>
  <c r="AG11" i="18" s="1"/>
  <c r="AG57" i="18" a="1"/>
  <c r="AG57" i="18" s="1"/>
  <c r="AG58" i="18" s="1"/>
  <c r="AG59" i="18" a="1"/>
  <c r="AG59" i="18" s="1"/>
  <c r="AG60" i="18" s="1"/>
  <c r="AG33" i="18" a="1"/>
  <c r="AG33" i="18" s="1"/>
  <c r="AG17" i="18" a="1"/>
  <c r="AG17" i="18" s="1"/>
  <c r="U261" i="17"/>
  <c r="Q261" i="17"/>
  <c r="U343" i="17"/>
  <c r="K189" i="16"/>
  <c r="T541" i="17"/>
  <c r="T570" i="17" s="1"/>
  <c r="J196" i="16"/>
  <c r="J558" i="16" s="1"/>
  <c r="T345" i="17"/>
  <c r="J198" i="16" s="1"/>
  <c r="J197" i="16"/>
  <c r="P534" i="16"/>
  <c r="O202" i="16"/>
  <c r="O293" i="18" s="1"/>
  <c r="T511" i="16"/>
  <c r="T513" i="16" s="1"/>
  <c r="S361" i="16"/>
  <c r="T325" i="16"/>
  <c r="S487" i="16"/>
  <c r="Q516" i="16"/>
  <c r="T396" i="17"/>
  <c r="L251" i="16" s="1"/>
  <c r="L248" i="16"/>
  <c r="Q396" i="16"/>
  <c r="S396" i="17"/>
  <c r="K251" i="16" s="1"/>
  <c r="K248" i="16"/>
  <c r="R261" i="17"/>
  <c r="R396" i="17"/>
  <c r="J251" i="16" s="1"/>
  <c r="J248" i="16"/>
  <c r="U396" i="17"/>
  <c r="M251" i="16" s="1"/>
  <c r="M248" i="16"/>
  <c r="S261" i="17"/>
  <c r="N159" i="16"/>
  <c r="N161" i="16" s="1"/>
  <c r="N162" i="16" s="1"/>
  <c r="N156" i="16"/>
  <c r="N222" i="16"/>
  <c r="N223" i="16" s="1"/>
  <c r="O218" i="16"/>
  <c r="P218" i="16"/>
  <c r="S147" i="16"/>
  <c r="S217" i="16"/>
  <c r="U147" i="16"/>
  <c r="U217" i="16"/>
  <c r="Q218" i="16"/>
  <c r="R147" i="16"/>
  <c r="R217" i="16"/>
  <c r="R218" i="16" s="1"/>
  <c r="T147" i="16"/>
  <c r="T217" i="16"/>
  <c r="O214" i="17"/>
  <c r="Q214" i="17"/>
  <c r="R214" i="17"/>
  <c r="S214" i="17"/>
  <c r="T214" i="17"/>
  <c r="P160" i="16"/>
  <c r="O155" i="16"/>
  <c r="O159" i="16"/>
  <c r="O161" i="16" s="1"/>
  <c r="O162" i="16" s="1"/>
  <c r="O46" i="16"/>
  <c r="O48" i="16" s="1"/>
  <c r="N46" i="16"/>
  <c r="N48" i="16" s="1"/>
  <c r="P46" i="16"/>
  <c r="P48" i="16" s="1"/>
  <c r="R162" i="15"/>
  <c r="R159" i="15" s="1" a="1"/>
  <c r="R159" i="15" s="1"/>
  <c r="R37" i="16" s="1"/>
  <c r="R38" i="16" s="1"/>
  <c r="R46" i="16" s="1"/>
  <c r="R48" i="16" s="1"/>
  <c r="R220" i="16" s="1"/>
  <c r="R163" i="15"/>
  <c r="U162" i="15"/>
  <c r="U159" i="15" s="1" a="1"/>
  <c r="U159" i="15" s="1"/>
  <c r="U37" i="16" s="1"/>
  <c r="U163" i="15"/>
  <c r="S162" i="15"/>
  <c r="S159" i="15" s="1" a="1"/>
  <c r="S159" i="15" s="1"/>
  <c r="S37" i="16" s="1"/>
  <c r="S38" i="16" s="1"/>
  <c r="S46" i="16" s="1"/>
  <c r="S48" i="16" s="1"/>
  <c r="S220" i="16" s="1"/>
  <c r="S163" i="15"/>
  <c r="Q162" i="15"/>
  <c r="Q159" i="15" s="1" a="1"/>
  <c r="Q159" i="15" s="1"/>
  <c r="Q37" i="16" s="1"/>
  <c r="Q38" i="16" s="1"/>
  <c r="Q163" i="15"/>
  <c r="T163" i="15"/>
  <c r="T162" i="15"/>
  <c r="T159" i="15" s="1" a="1"/>
  <c r="T159" i="15" s="1"/>
  <c r="T37" i="16" s="1"/>
  <c r="T38" i="16" s="1"/>
  <c r="T46" i="16" s="1"/>
  <c r="T48" i="16" s="1"/>
  <c r="T220" i="16" s="1"/>
  <c r="Z393" i="17"/>
  <c r="K543" i="17"/>
  <c r="K563" i="17" s="1"/>
  <c r="AA393" i="17"/>
  <c r="AB393" i="17"/>
  <c r="Y393" i="17"/>
  <c r="N395" i="17"/>
  <c r="AH393" i="17"/>
  <c r="Q393" i="17"/>
  <c r="Q396" i="17" s="1"/>
  <c r="AC393" i="17"/>
  <c r="K542" i="17"/>
  <c r="K562" i="17" s="1"/>
  <c r="U344" i="17"/>
  <c r="Q542" i="17"/>
  <c r="Q551" i="17" s="1"/>
  <c r="Q557" i="17" s="1"/>
  <c r="Q543" i="17"/>
  <c r="Q563" i="17" s="1"/>
  <c r="M543" i="17"/>
  <c r="M563" i="17" s="1"/>
  <c r="O542" i="17"/>
  <c r="O551" i="17" s="1"/>
  <c r="O557" i="17" s="1"/>
  <c r="O543" i="17"/>
  <c r="O563" i="17" s="1"/>
  <c r="M542" i="17"/>
  <c r="M551" i="17" s="1"/>
  <c r="M557" i="17" s="1"/>
  <c r="R40" i="18"/>
  <c r="R43" i="18" s="1"/>
  <c r="R649" i="17"/>
  <c r="R544" i="17"/>
  <c r="R564" i="17" s="1"/>
  <c r="P40" i="18"/>
  <c r="P43" i="18" s="1"/>
  <c r="P544" i="17"/>
  <c r="P564" i="17" s="1"/>
  <c r="P649" i="17"/>
  <c r="K578" i="17"/>
  <c r="L584" i="17"/>
  <c r="R542" i="17"/>
  <c r="P542" i="17"/>
  <c r="L344" i="17"/>
  <c r="L345" i="17" s="1"/>
  <c r="L343" i="17"/>
  <c r="L541" i="17" s="1"/>
  <c r="L570" i="17" s="1"/>
  <c r="Q40" i="18"/>
  <c r="Q43" i="18" s="1"/>
  <c r="Q649" i="17"/>
  <c r="Q544" i="17"/>
  <c r="Q564" i="17" s="1"/>
  <c r="R543" i="17"/>
  <c r="R563" i="17" s="1"/>
  <c r="S344" i="17"/>
  <c r="S345" i="17" s="1"/>
  <c r="S343" i="17"/>
  <c r="S541" i="17" s="1"/>
  <c r="S570" i="17" s="1"/>
  <c r="N344" i="17"/>
  <c r="N345" i="17" s="1"/>
  <c r="N343" i="17"/>
  <c r="N541" i="17" s="1"/>
  <c r="N570" i="17" s="1"/>
  <c r="AD389" i="17"/>
  <c r="AD392" i="17" s="1"/>
  <c r="AE393" i="17" s="1"/>
  <c r="J678" i="17"/>
  <c r="J653" i="17"/>
  <c r="O40" i="18"/>
  <c r="O43" i="18" s="1"/>
  <c r="O649" i="17"/>
  <c r="O544" i="17"/>
  <c r="O564" i="17" s="1"/>
  <c r="K678" i="17"/>
  <c r="K653" i="17"/>
  <c r="M604" i="17"/>
  <c r="M601" i="17"/>
  <c r="M600" i="17"/>
  <c r="M603" i="17"/>
  <c r="M602" i="17"/>
  <c r="M599" i="17"/>
  <c r="P543" i="17"/>
  <c r="P563" i="17" s="1"/>
  <c r="T544" i="17"/>
  <c r="T564" i="17" s="1"/>
  <c r="T649" i="17"/>
  <c r="M40" i="18"/>
  <c r="M43" i="18" s="1"/>
  <c r="M649" i="17"/>
  <c r="M544" i="17"/>
  <c r="M564" i="17" s="1"/>
  <c r="L361" i="17"/>
  <c r="U6" i="17"/>
  <c r="T6" i="17" s="1"/>
  <c r="S6" i="17" s="1"/>
  <c r="R6" i="17" s="1"/>
  <c r="Q6" i="17" s="1"/>
  <c r="P6" i="17" s="1"/>
  <c r="O6" i="17" s="1"/>
  <c r="N6" i="17" s="1"/>
  <c r="M6" i="17" s="1"/>
  <c r="L6" i="17" s="1"/>
  <c r="K6" i="17" s="1"/>
  <c r="H106" i="15"/>
  <c r="J559" i="16" l="1"/>
  <c r="T543" i="17"/>
  <c r="T563" i="17" s="1"/>
  <c r="T542" i="17"/>
  <c r="T551" i="17" s="1"/>
  <c r="T557" i="17" s="1"/>
  <c r="AH104" i="18" a="1"/>
  <c r="AH104" i="18" s="1"/>
  <c r="AH33" i="18" a="1"/>
  <c r="AH33" i="18" s="1"/>
  <c r="AH95" i="18" a="1"/>
  <c r="AH95" i="18" s="1"/>
  <c r="AH105" i="18" a="1"/>
  <c r="AH105" i="18" s="1"/>
  <c r="AH108" i="18" a="1"/>
  <c r="AH108" i="18" s="1"/>
  <c r="AH35" i="18" a="1"/>
  <c r="AH35" i="18" s="1"/>
  <c r="AH97" i="18" a="1"/>
  <c r="AH97" i="18" s="1"/>
  <c r="AH12" i="18" a="1"/>
  <c r="AH12" i="18" s="1"/>
  <c r="AH22" i="18" a="1"/>
  <c r="AH22" i="18" s="1"/>
  <c r="AH59" i="18" a="1"/>
  <c r="AH59" i="18" s="1"/>
  <c r="AH60" i="18" s="1"/>
  <c r="AH67" i="18" a="1"/>
  <c r="AH67" i="18" s="1"/>
  <c r="AH81" i="18" a="1"/>
  <c r="AH81" i="18" s="1"/>
  <c r="AH109" i="18" a="1"/>
  <c r="AH109" i="18" s="1"/>
  <c r="AH20" i="18" a="1"/>
  <c r="AH20" i="18" s="1"/>
  <c r="AH96" i="18" a="1"/>
  <c r="AH96" i="18" s="1"/>
  <c r="AH37" i="18" a="1"/>
  <c r="AH37" i="18" s="1"/>
  <c r="AH40" i="18" s="1"/>
  <c r="AH110" i="18" a="1"/>
  <c r="AH110" i="18" s="1"/>
  <c r="AH15" i="18" a="1"/>
  <c r="AH15" i="18" s="1"/>
  <c r="AH80" i="18" a="1"/>
  <c r="AH80" i="18" s="1"/>
  <c r="AH18" i="18" a="1"/>
  <c r="AH18" i="18" s="1"/>
  <c r="AH66" i="18" a="1"/>
  <c r="AH66" i="18" s="1"/>
  <c r="AH32" i="18" a="1"/>
  <c r="AH32" i="18" s="1"/>
  <c r="AH107" i="18" a="1"/>
  <c r="AH107" i="18" s="1"/>
  <c r="AH101" i="18" a="1"/>
  <c r="AH101" i="18" s="1"/>
  <c r="AH106" i="18" a="1"/>
  <c r="AH106" i="18" s="1"/>
  <c r="AH99" i="18" a="1"/>
  <c r="AH99" i="18" s="1"/>
  <c r="AH103" i="18" a="1"/>
  <c r="AH103" i="18" s="1"/>
  <c r="AH79" i="18" a="1"/>
  <c r="AH79" i="18" s="1"/>
  <c r="AH98" i="18" a="1"/>
  <c r="AH98" i="18" s="1"/>
  <c r="AH31" i="18" a="1"/>
  <c r="AH31" i="18" s="1"/>
  <c r="AH102" i="18" a="1"/>
  <c r="AH102" i="18" s="1"/>
  <c r="AH64" i="18" a="1"/>
  <c r="AH64" i="18" s="1"/>
  <c r="AH100" i="18" a="1"/>
  <c r="AH100" i="18" s="1"/>
  <c r="AH27" i="18" a="1"/>
  <c r="AH27" i="18" s="1"/>
  <c r="AH17" i="18" a="1"/>
  <c r="AH17" i="18" s="1"/>
  <c r="AH34" i="18" a="1"/>
  <c r="AH34" i="18" s="1"/>
  <c r="AH30" i="18" a="1"/>
  <c r="AH30" i="18" s="1"/>
  <c r="AH11" i="18" a="1"/>
  <c r="AH11" i="18" s="1"/>
  <c r="AH57" i="18" a="1"/>
  <c r="AH57" i="18" s="1"/>
  <c r="AH58" i="18" s="1"/>
  <c r="AH10" i="18" a="1"/>
  <c r="AH10" i="18" s="1"/>
  <c r="AH62" i="18" a="1"/>
  <c r="AH62" i="18" s="1"/>
  <c r="AH94" i="18" a="1"/>
  <c r="AH94" i="18" s="1"/>
  <c r="AH93" i="18" a="1"/>
  <c r="AH93" i="18" s="1"/>
  <c r="J281" i="18"/>
  <c r="J360" i="18" s="1"/>
  <c r="J361" i="18" s="1"/>
  <c r="J291" i="18"/>
  <c r="L394" i="17"/>
  <c r="L391" i="17"/>
  <c r="L392" i="17" s="1"/>
  <c r="AE394" i="17"/>
  <c r="AE395" i="17" s="1"/>
  <c r="J203" i="16"/>
  <c r="J576" i="16" s="1"/>
  <c r="J604" i="16" s="1"/>
  <c r="T40" i="18"/>
  <c r="AH394" i="17"/>
  <c r="AH395" i="17" s="1"/>
  <c r="AB394" i="17"/>
  <c r="AB395" i="17" s="1"/>
  <c r="Y394" i="17"/>
  <c r="Y395" i="17" s="1"/>
  <c r="AA394" i="17"/>
  <c r="AA395" i="17" s="1"/>
  <c r="Z394" i="17"/>
  <c r="Z395" i="17" s="1"/>
  <c r="U345" i="17"/>
  <c r="K198" i="16" s="1"/>
  <c r="K197" i="16"/>
  <c r="AC394" i="17"/>
  <c r="AC395" i="17" s="1"/>
  <c r="U541" i="17"/>
  <c r="K196" i="16"/>
  <c r="Q534" i="16"/>
  <c r="P202" i="16"/>
  <c r="P293" i="18" s="1"/>
  <c r="U511" i="16"/>
  <c r="U513" i="16" s="1"/>
  <c r="U361" i="16" s="1"/>
  <c r="T361" i="16"/>
  <c r="U325" i="16"/>
  <c r="U487" i="16" s="1"/>
  <c r="T487" i="16"/>
  <c r="R516" i="16"/>
  <c r="R396" i="16"/>
  <c r="U218" i="16"/>
  <c r="O156" i="16"/>
  <c r="O222" i="16"/>
  <c r="O223" i="16" s="1"/>
  <c r="S221" i="16"/>
  <c r="O49" i="16"/>
  <c r="O220" i="16"/>
  <c r="N49" i="16"/>
  <c r="N220" i="16"/>
  <c r="S218" i="16"/>
  <c r="T218" i="16"/>
  <c r="T221" i="16"/>
  <c r="P49" i="16"/>
  <c r="P220" i="16"/>
  <c r="P159" i="16"/>
  <c r="P161" i="16" s="1"/>
  <c r="P162" i="16" s="1"/>
  <c r="P155" i="16"/>
  <c r="Q160" i="16"/>
  <c r="T49" i="16"/>
  <c r="R49" i="16"/>
  <c r="S49" i="16"/>
  <c r="U38" i="16"/>
  <c r="U46" i="16" s="1"/>
  <c r="U48" i="16" s="1"/>
  <c r="U220" i="16" s="1"/>
  <c r="Q46" i="16"/>
  <c r="Q48" i="16" s="1"/>
  <c r="T562" i="17"/>
  <c r="Q562" i="17"/>
  <c r="U649" i="17"/>
  <c r="U678" i="17" s="1"/>
  <c r="U40" i="18"/>
  <c r="U544" i="17"/>
  <c r="U564" i="17" s="1"/>
  <c r="K20" i="15" s="1"/>
  <c r="P393" i="17"/>
  <c r="P396" i="17" s="1"/>
  <c r="AG393" i="17"/>
  <c r="AG394" i="17" s="1"/>
  <c r="AG395" i="17" s="1"/>
  <c r="M395" i="17"/>
  <c r="AD393" i="17"/>
  <c r="AD394" i="17" s="1"/>
  <c r="AD395" i="17" s="1"/>
  <c r="S542" i="17"/>
  <c r="S562" i="17" s="1"/>
  <c r="AF393" i="17"/>
  <c r="AF394" i="17" s="1"/>
  <c r="AF395" i="17" s="1"/>
  <c r="K551" i="17"/>
  <c r="K557" i="17" s="1"/>
  <c r="M562" i="17"/>
  <c r="Y361" i="17"/>
  <c r="Z361" i="17" s="1"/>
  <c r="AA361" i="17" s="1"/>
  <c r="AB361" i="17" s="1"/>
  <c r="AC361" i="17" s="1"/>
  <c r="AD361" i="17" s="1"/>
  <c r="AE361" i="17" s="1"/>
  <c r="AF361" i="17" s="1"/>
  <c r="AG361" i="17" s="1"/>
  <c r="AH361" i="17" s="1"/>
  <c r="Y221" i="17"/>
  <c r="Z221" i="17" s="1"/>
  <c r="AA221" i="17" s="1"/>
  <c r="AB221" i="17" s="1"/>
  <c r="AC221" i="17" s="1"/>
  <c r="AD221" i="17" s="1"/>
  <c r="AE221" i="17" s="1"/>
  <c r="AF221" i="17" s="1"/>
  <c r="AG221" i="17" s="1"/>
  <c r="AH221" i="17" s="1"/>
  <c r="Y90" i="17"/>
  <c r="Z90" i="17" s="1"/>
  <c r="AA90" i="17" s="1"/>
  <c r="AB90" i="17" s="1"/>
  <c r="AC90" i="17" s="1"/>
  <c r="AD90" i="17" s="1"/>
  <c r="AE90" i="17" s="1"/>
  <c r="AF90" i="17" s="1"/>
  <c r="AG90" i="17" s="1"/>
  <c r="AH90" i="17" s="1"/>
  <c r="O562" i="17"/>
  <c r="S543" i="17"/>
  <c r="S563" i="17" s="1"/>
  <c r="L542" i="17"/>
  <c r="L551" i="17" s="1"/>
  <c r="L557" i="17" s="1"/>
  <c r="J578" i="17"/>
  <c r="J584" i="17" s="1"/>
  <c r="K584" i="17"/>
  <c r="R353" i="17"/>
  <c r="R668" i="17"/>
  <c r="N40" i="18"/>
  <c r="N43" i="18" s="1"/>
  <c r="N649" i="17"/>
  <c r="N544" i="17"/>
  <c r="N564" i="17" s="1"/>
  <c r="O353" i="17"/>
  <c r="O668" i="17"/>
  <c r="L40" i="18"/>
  <c r="L43" i="18" s="1"/>
  <c r="L544" i="17"/>
  <c r="L564" i="17" s="1"/>
  <c r="L649" i="17"/>
  <c r="T678" i="17"/>
  <c r="T653" i="17"/>
  <c r="Q353" i="17"/>
  <c r="Q668" i="17"/>
  <c r="T353" i="17"/>
  <c r="J206" i="16" s="1"/>
  <c r="T668" i="17"/>
  <c r="O678" i="17"/>
  <c r="O653" i="17"/>
  <c r="P678" i="17"/>
  <c r="P653" i="17"/>
  <c r="M678" i="17"/>
  <c r="M653" i="17"/>
  <c r="S40" i="18"/>
  <c r="S43" i="18" s="1"/>
  <c r="S649" i="17"/>
  <c r="S544" i="17"/>
  <c r="S564" i="17" s="1"/>
  <c r="P562" i="17"/>
  <c r="P551" i="17"/>
  <c r="P557" i="17" s="1"/>
  <c r="P353" i="17"/>
  <c r="P668" i="17"/>
  <c r="M353" i="17"/>
  <c r="M668" i="17"/>
  <c r="N543" i="17"/>
  <c r="N563" i="17" s="1"/>
  <c r="R562" i="17"/>
  <c r="R551" i="17"/>
  <c r="R557" i="17" s="1"/>
  <c r="N542" i="17"/>
  <c r="L543" i="17"/>
  <c r="L563" i="17" s="1"/>
  <c r="Q678" i="17"/>
  <c r="Q653" i="17"/>
  <c r="L604" i="17"/>
  <c r="L601" i="17"/>
  <c r="L599" i="17"/>
  <c r="L603" i="17"/>
  <c r="L600" i="17"/>
  <c r="L602" i="17"/>
  <c r="R678" i="17"/>
  <c r="R653" i="17"/>
  <c r="K361" i="17"/>
  <c r="J361" i="17" s="1"/>
  <c r="J6" i="17"/>
  <c r="K558" i="16" l="1"/>
  <c r="K559" i="16"/>
  <c r="AE396" i="17"/>
  <c r="K281" i="18"/>
  <c r="K360" i="18" s="1"/>
  <c r="K361" i="18" s="1"/>
  <c r="K291" i="18"/>
  <c r="U43" i="18"/>
  <c r="K294" i="18"/>
  <c r="K362" i="18" s="1"/>
  <c r="T43" i="18"/>
  <c r="J297" i="18" s="1"/>
  <c r="J294" i="18"/>
  <c r="J362" i="18" s="1"/>
  <c r="AB396" i="17"/>
  <c r="AA396" i="17"/>
  <c r="Y396" i="17"/>
  <c r="Z396" i="17"/>
  <c r="AH396" i="17"/>
  <c r="U570" i="17"/>
  <c r="U543" i="17"/>
  <c r="U563" i="17" s="1"/>
  <c r="U542" i="17"/>
  <c r="U653" i="17"/>
  <c r="U43" i="15" s="1"/>
  <c r="L536" i="16" s="1"/>
  <c r="M536" i="16" s="1"/>
  <c r="N536" i="16" s="1"/>
  <c r="O536" i="16" s="1"/>
  <c r="P536" i="16" s="1"/>
  <c r="Q536" i="16" s="1"/>
  <c r="R536" i="16" s="1"/>
  <c r="S536" i="16" s="1"/>
  <c r="T536" i="16" s="1"/>
  <c r="U536" i="16" s="1"/>
  <c r="AC396" i="17"/>
  <c r="R534" i="16"/>
  <c r="Q202" i="16"/>
  <c r="Q293" i="18" s="1"/>
  <c r="S516" i="16"/>
  <c r="U353" i="17"/>
  <c r="K206" i="16" s="1"/>
  <c r="K203" i="16"/>
  <c r="S396" i="16"/>
  <c r="P156" i="16"/>
  <c r="P222" i="16"/>
  <c r="P223" i="16" s="1"/>
  <c r="U221" i="16"/>
  <c r="N221" i="16"/>
  <c r="N225" i="16"/>
  <c r="P221" i="16"/>
  <c r="Q49" i="16"/>
  <c r="Q220" i="16"/>
  <c r="O221" i="16"/>
  <c r="R160" i="16"/>
  <c r="Q159" i="16"/>
  <c r="Q161" i="16" s="1"/>
  <c r="Q162" i="16" s="1"/>
  <c r="Q155" i="16"/>
  <c r="U49" i="16"/>
  <c r="AF396" i="17"/>
  <c r="L562" i="17"/>
  <c r="U668" i="17"/>
  <c r="U686" i="17" s="1"/>
  <c r="AD396" i="17"/>
  <c r="S551" i="17"/>
  <c r="S557" i="17" s="1"/>
  <c r="L395" i="17"/>
  <c r="O393" i="17"/>
  <c r="O396" i="17" s="1"/>
  <c r="M393" i="17"/>
  <c r="M396" i="17" s="1"/>
  <c r="N393" i="17"/>
  <c r="N396" i="17" s="1"/>
  <c r="AG396" i="17"/>
  <c r="Q687" i="17"/>
  <c r="R686" i="17"/>
  <c r="Q686" i="17"/>
  <c r="P687" i="17"/>
  <c r="N687" i="17"/>
  <c r="O686" i="17"/>
  <c r="N562" i="17"/>
  <c r="N551" i="17"/>
  <c r="N557" i="17" s="1"/>
  <c r="M686" i="17"/>
  <c r="L687" i="17"/>
  <c r="S678" i="17"/>
  <c r="S653" i="17"/>
  <c r="T686" i="17"/>
  <c r="S687" i="17"/>
  <c r="L678" i="17"/>
  <c r="L653" i="17"/>
  <c r="N678" i="17"/>
  <c r="N653" i="17"/>
  <c r="L353" i="17"/>
  <c r="L668" i="17"/>
  <c r="J599" i="17"/>
  <c r="J600" i="17"/>
  <c r="J604" i="17"/>
  <c r="J602" i="17"/>
  <c r="J601" i="17"/>
  <c r="J603" i="17"/>
  <c r="P686" i="17"/>
  <c r="O687" i="17"/>
  <c r="S353" i="17"/>
  <c r="S668" i="17"/>
  <c r="N353" i="17"/>
  <c r="N668" i="17"/>
  <c r="K599" i="17"/>
  <c r="K600" i="17"/>
  <c r="K602" i="17"/>
  <c r="K604" i="17"/>
  <c r="K603" i="17"/>
  <c r="K601" i="17"/>
  <c r="K17" i="15"/>
  <c r="K52" i="15"/>
  <c r="L52" i="15" s="1"/>
  <c r="M52" i="15" s="1"/>
  <c r="N52" i="15" s="1"/>
  <c r="O52" i="15" s="1"/>
  <c r="P52" i="15" s="1"/>
  <c r="Q52" i="15" s="1"/>
  <c r="R52" i="15" s="1"/>
  <c r="S52" i="15" s="1"/>
  <c r="T52" i="15" s="1"/>
  <c r="U52" i="15" s="1"/>
  <c r="N227" i="16" l="1"/>
  <c r="N226" i="16"/>
  <c r="K576" i="16"/>
  <c r="K577" i="16" s="1"/>
  <c r="AF10" i="19"/>
  <c r="AE10" i="19"/>
  <c r="AD10" i="19"/>
  <c r="U589" i="16"/>
  <c r="U376" i="18"/>
  <c r="U380" i="18" s="1"/>
  <c r="K363" i="18"/>
  <c r="K297" i="18"/>
  <c r="AD41" i="18"/>
  <c r="AC41" i="18"/>
  <c r="AB41" i="18"/>
  <c r="AA41" i="18"/>
  <c r="AH41" i="18"/>
  <c r="Z41" i="18"/>
  <c r="AG41" i="18"/>
  <c r="Y41" i="18"/>
  <c r="AE41" i="18"/>
  <c r="AF41" i="18"/>
  <c r="U562" i="17"/>
  <c r="AC11" i="15" s="1"/>
  <c r="U551" i="17"/>
  <c r="U557" i="17" s="1"/>
  <c r="S534" i="16"/>
  <c r="R202" i="16"/>
  <c r="R293" i="18" s="1"/>
  <c r="U516" i="16"/>
  <c r="T516" i="16"/>
  <c r="T396" i="16"/>
  <c r="Q156" i="16"/>
  <c r="Q222" i="16"/>
  <c r="Q223" i="16" s="1"/>
  <c r="Q221" i="16"/>
  <c r="R221" i="16"/>
  <c r="R159" i="16"/>
  <c r="R161" i="16" s="1"/>
  <c r="R162" i="16" s="1"/>
  <c r="R155" i="16"/>
  <c r="S160" i="16"/>
  <c r="T687" i="17"/>
  <c r="Y273" i="17"/>
  <c r="Z273" i="17" s="1"/>
  <c r="AA273" i="17" s="1"/>
  <c r="AB273" i="17" s="1"/>
  <c r="AC273" i="17" s="1"/>
  <c r="AD273" i="17" s="1"/>
  <c r="AE273" i="17" s="1"/>
  <c r="AF273" i="17" s="1"/>
  <c r="AG273" i="17" s="1"/>
  <c r="AH273" i="17" s="1"/>
  <c r="Y319" i="17"/>
  <c r="Z319" i="17" s="1"/>
  <c r="AA319" i="17" s="1"/>
  <c r="AB319" i="17" s="1"/>
  <c r="AC319" i="17" s="1"/>
  <c r="AD319" i="17" s="1"/>
  <c r="AE319" i="17" s="1"/>
  <c r="AF319" i="17" s="1"/>
  <c r="AG319" i="17" s="1"/>
  <c r="AH319" i="17" s="1"/>
  <c r="R687" i="17"/>
  <c r="S686" i="17"/>
  <c r="K687" i="17"/>
  <c r="L686" i="17"/>
  <c r="N686" i="17"/>
  <c r="M687" i="17"/>
  <c r="Y174" i="17"/>
  <c r="Z174" i="17" s="1"/>
  <c r="AA174" i="17" s="1"/>
  <c r="AB174" i="17" s="1"/>
  <c r="AC174" i="17" s="1"/>
  <c r="AD174" i="17" s="1"/>
  <c r="AE174" i="17" s="1"/>
  <c r="AF174" i="17" s="1"/>
  <c r="AG174" i="17" s="1"/>
  <c r="AH174" i="17" s="1"/>
  <c r="Y6" i="17"/>
  <c r="L203" i="15"/>
  <c r="K40" i="15"/>
  <c r="K182" i="15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U15" i="15"/>
  <c r="U19" i="15" s="1"/>
  <c r="L190" i="15" s="1"/>
  <c r="K604" i="16" l="1"/>
  <c r="L191" i="15"/>
  <c r="L199" i="15"/>
  <c r="L198" i="15"/>
  <c r="Z43" i="18"/>
  <c r="Z42" i="18"/>
  <c r="AA42" i="18"/>
  <c r="AA43" i="18"/>
  <c r="AB42" i="18"/>
  <c r="AB43" i="18"/>
  <c r="AF43" i="18"/>
  <c r="AF42" i="18"/>
  <c r="AE43" i="18"/>
  <c r="AE42" i="18"/>
  <c r="AG43" i="18"/>
  <c r="AG42" i="18"/>
  <c r="AH43" i="18"/>
  <c r="AH42" i="18"/>
  <c r="AC43" i="18"/>
  <c r="AC42" i="18"/>
  <c r="AD43" i="18"/>
  <c r="AD42" i="18"/>
  <c r="Y43" i="18"/>
  <c r="Y42" i="18"/>
  <c r="K19" i="15"/>
  <c r="U593" i="16" s="1"/>
  <c r="T534" i="16"/>
  <c r="S202" i="16"/>
  <c r="S293" i="18" s="1"/>
  <c r="U396" i="16"/>
  <c r="R156" i="16"/>
  <c r="R222" i="16"/>
  <c r="U160" i="16"/>
  <c r="T160" i="16"/>
  <c r="S159" i="16"/>
  <c r="S161" i="16" s="1"/>
  <c r="S162" i="16" s="1"/>
  <c r="S155" i="16"/>
  <c r="Y599" i="17" a="1"/>
  <c r="Y599" i="17" s="1"/>
  <c r="L69" i="15" s="1"/>
  <c r="L453" i="16" s="1"/>
  <c r="Y601" i="17" a="1"/>
  <c r="Y601" i="17" s="1"/>
  <c r="L71" i="15" s="1"/>
  <c r="L455" i="16" s="1"/>
  <c r="Y603" i="17" a="1"/>
  <c r="Y603" i="17" s="1"/>
  <c r="L73" i="15" s="1"/>
  <c r="L457" i="16" s="1"/>
  <c r="Y600" i="17" a="1"/>
  <c r="Y600" i="17" s="1"/>
  <c r="L70" i="15" s="1"/>
  <c r="L454" i="16" s="1"/>
  <c r="Y604" i="17" a="1"/>
  <c r="Y604" i="17" s="1"/>
  <c r="L74" i="15" s="1"/>
  <c r="L458" i="16" s="1"/>
  <c r="Y422" i="17" a="1"/>
  <c r="Y422" i="17" s="1"/>
  <c r="Y421" i="17" a="1"/>
  <c r="Y421" i="17" s="1"/>
  <c r="Y424" i="17" a="1"/>
  <c r="Y424" i="17" s="1"/>
  <c r="Y423" i="17" a="1"/>
  <c r="Y423" i="17" s="1"/>
  <c r="Y568" i="17" a="1"/>
  <c r="Y568" i="17" s="1"/>
  <c r="L201" i="15" a="1"/>
  <c r="L201" i="15" s="1"/>
  <c r="L422" i="16" s="1"/>
  <c r="L578" i="16" s="1"/>
  <c r="L626" i="16" s="1"/>
  <c r="Y335" i="17" a="1"/>
  <c r="Y335" i="17" s="1"/>
  <c r="Y190" i="17" a="1"/>
  <c r="Y190" i="17" s="1"/>
  <c r="Y183" i="17" a="1"/>
  <c r="Y183" i="17" s="1"/>
  <c r="Y331" i="17" a="1"/>
  <c r="Y331" i="17" s="1"/>
  <c r="Y193" i="17" a="1"/>
  <c r="Y193" i="17" s="1"/>
  <c r="Y189" i="17" a="1"/>
  <c r="Y189" i="17" s="1"/>
  <c r="Y182" i="17" a="1"/>
  <c r="Y182" i="17" s="1"/>
  <c r="Y33" i="17" a="1"/>
  <c r="Y33" i="17" s="1"/>
  <c r="Y29" i="17" a="1"/>
  <c r="Y29" i="17" s="1"/>
  <c r="Y22" i="17" a="1"/>
  <c r="Y22" i="17" s="1"/>
  <c r="Y18" i="17" a="1"/>
  <c r="Y18" i="17" s="1"/>
  <c r="Y14" i="17" a="1"/>
  <c r="Y14" i="17" s="1"/>
  <c r="Y327" i="17" a="1"/>
  <c r="Y327" i="17" s="1"/>
  <c r="Y10" i="17" a="1"/>
  <c r="Y10" i="17" s="1"/>
  <c r="Y325" i="17" s="1"/>
  <c r="Y181" i="17" a="1"/>
  <c r="Y181" i="17" s="1"/>
  <c r="Y32" i="17" a="1"/>
  <c r="Y32" i="17" s="1"/>
  <c r="Y21" i="17" a="1"/>
  <c r="Y21" i="17" s="1"/>
  <c r="Y34" i="17" a="1"/>
  <c r="Y34" i="17" s="1"/>
  <c r="Y15" i="17" a="1"/>
  <c r="Y15" i="17" s="1"/>
  <c r="Y184" i="17" a="1"/>
  <c r="Y184" i="17" s="1"/>
  <c r="Y37" i="17" a="1"/>
  <c r="Y37" i="17" s="1"/>
  <c r="Y27" i="17" a="1"/>
  <c r="Y27" i="17" s="1"/>
  <c r="Y16" i="17" a="1"/>
  <c r="Y16" i="17" s="1"/>
  <c r="Y28" i="17" a="1"/>
  <c r="Y28" i="17" s="1"/>
  <c r="Y30" i="17" a="1"/>
  <c r="Y30" i="17" s="1"/>
  <c r="Y19" i="17" a="1"/>
  <c r="Y19" i="17" s="1"/>
  <c r="Y31" i="17" a="1"/>
  <c r="Y31" i="17" s="1"/>
  <c r="Y185" i="17" a="1"/>
  <c r="Y185" i="17" s="1"/>
  <c r="Y191" i="17" a="1"/>
  <c r="Y191" i="17" s="1"/>
  <c r="Y23" i="17" a="1"/>
  <c r="Y23" i="17" s="1"/>
  <c r="Y17" i="17" a="1"/>
  <c r="Y17" i="17" s="1"/>
  <c r="Y20" i="17" a="1"/>
  <c r="Y20" i="17" s="1"/>
  <c r="Y192" i="17" a="1"/>
  <c r="Y192" i="17" s="1"/>
  <c r="Z6" i="17"/>
  <c r="K25" i="15"/>
  <c r="S25" i="15"/>
  <c r="L204" i="15"/>
  <c r="L205" i="15"/>
  <c r="M203" i="15"/>
  <c r="L192" i="15"/>
  <c r="M190" i="15"/>
  <c r="L188" i="15" a="1"/>
  <c r="L188" i="15" s="1"/>
  <c r="L587" i="16" s="1"/>
  <c r="L62" i="15" l="1"/>
  <c r="L275" i="16" s="1"/>
  <c r="T27" i="15"/>
  <c r="T29" i="15"/>
  <c r="T26" i="15"/>
  <c r="T28" i="15"/>
  <c r="T30" i="15"/>
  <c r="M199" i="15"/>
  <c r="M198" i="15"/>
  <c r="K21" i="15"/>
  <c r="U534" i="16"/>
  <c r="U202" i="16" s="1"/>
  <c r="U293" i="18" s="1"/>
  <c r="T202" i="16"/>
  <c r="T293" i="18" s="1"/>
  <c r="S156" i="16"/>
  <c r="S222" i="16"/>
  <c r="R223" i="16"/>
  <c r="T159" i="16"/>
  <c r="T161" i="16" s="1"/>
  <c r="T162" i="16" s="1"/>
  <c r="T155" i="16"/>
  <c r="N203" i="15"/>
  <c r="O203" i="15" s="1"/>
  <c r="M204" i="15"/>
  <c r="M205" i="15"/>
  <c r="Z601" i="17" a="1"/>
  <c r="Z601" i="17" s="1"/>
  <c r="M71" i="15" s="1"/>
  <c r="Z603" i="17" a="1"/>
  <c r="Z603" i="17" s="1"/>
  <c r="M73" i="15" s="1"/>
  <c r="Z604" i="17" a="1"/>
  <c r="Z604" i="17" s="1"/>
  <c r="M74" i="15" s="1"/>
  <c r="Z600" i="17" a="1"/>
  <c r="Z600" i="17" s="1"/>
  <c r="M70" i="15" s="1"/>
  <c r="Z599" i="17" a="1"/>
  <c r="Z599" i="17" s="1"/>
  <c r="M69" i="15" s="1"/>
  <c r="Z422" i="17" a="1"/>
  <c r="Z422" i="17" s="1"/>
  <c r="Z421" i="17" a="1"/>
  <c r="Z421" i="17" s="1"/>
  <c r="Z424" i="17" a="1"/>
  <c r="Z424" i="17" s="1"/>
  <c r="Z423" i="17" a="1"/>
  <c r="Z423" i="17" s="1"/>
  <c r="Z568" i="17" a="1"/>
  <c r="Z568" i="17" s="1"/>
  <c r="Y308" i="17"/>
  <c r="Z335" i="17" a="1"/>
  <c r="Z335" i="17" s="1"/>
  <c r="Z190" i="17" a="1"/>
  <c r="Z190" i="17" s="1"/>
  <c r="Z183" i="17" a="1"/>
  <c r="Z183" i="17" s="1"/>
  <c r="Z331" i="17" a="1"/>
  <c r="Z331" i="17" s="1"/>
  <c r="Z193" i="17" a="1"/>
  <c r="Z193" i="17" s="1"/>
  <c r="Z189" i="17" a="1"/>
  <c r="Z189" i="17" s="1"/>
  <c r="Z182" i="17" a="1"/>
  <c r="Z182" i="17" s="1"/>
  <c r="Z33" i="17" a="1"/>
  <c r="Z33" i="17" s="1"/>
  <c r="Z29" i="17" a="1"/>
  <c r="Z29" i="17" s="1"/>
  <c r="Z22" i="17" a="1"/>
  <c r="Z22" i="17" s="1"/>
  <c r="Z18" i="17" a="1"/>
  <c r="Z18" i="17" s="1"/>
  <c r="Z14" i="17" a="1"/>
  <c r="Z14" i="17" s="1"/>
  <c r="Z327" i="17" a="1"/>
  <c r="Z327" i="17" s="1"/>
  <c r="Z192" i="17" a="1"/>
  <c r="Z192" i="17" s="1"/>
  <c r="Z185" i="17" a="1"/>
  <c r="Z185" i="17" s="1"/>
  <c r="Z181" i="17" a="1"/>
  <c r="Z181" i="17" s="1"/>
  <c r="Z32" i="17" a="1"/>
  <c r="Z32" i="17" s="1"/>
  <c r="Z28" i="17" a="1"/>
  <c r="Z28" i="17" s="1"/>
  <c r="Z21" i="17" a="1"/>
  <c r="Z21" i="17" s="1"/>
  <c r="Z17" i="17" a="1"/>
  <c r="Z17" i="17" s="1"/>
  <c r="Z191" i="17" a="1"/>
  <c r="Z191" i="17" s="1"/>
  <c r="Z184" i="17" a="1"/>
  <c r="Z184" i="17" s="1"/>
  <c r="Z37" i="17" a="1"/>
  <c r="Z37" i="17" s="1"/>
  <c r="Z31" i="17" a="1"/>
  <c r="Z31" i="17" s="1"/>
  <c r="Z27" i="17" a="1"/>
  <c r="Z27" i="17" s="1"/>
  <c r="Z20" i="17" a="1"/>
  <c r="Z20" i="17" s="1"/>
  <c r="Z16" i="17" a="1"/>
  <c r="Z16" i="17" s="1"/>
  <c r="Z10" i="17" a="1"/>
  <c r="Z10" i="17" s="1"/>
  <c r="Z325" i="17" s="1"/>
  <c r="Z34" i="17" a="1"/>
  <c r="Z34" i="17" s="1"/>
  <c r="Z30" i="17" a="1"/>
  <c r="Z30" i="17" s="1"/>
  <c r="Z19" i="17" a="1"/>
  <c r="Z19" i="17" s="1"/>
  <c r="Z23" i="17" a="1"/>
  <c r="Z23" i="17" s="1"/>
  <c r="Z15" i="17" a="1"/>
  <c r="Z15" i="17" s="1"/>
  <c r="Y312" i="17"/>
  <c r="Y311" i="17"/>
  <c r="Y310" i="17"/>
  <c r="Y309" i="17"/>
  <c r="Y194" i="17"/>
  <c r="T31" i="15" s="1"/>
  <c r="Y186" i="17"/>
  <c r="Y35" i="17"/>
  <c r="Y24" i="17"/>
  <c r="Y11" i="17"/>
  <c r="AA6" i="17"/>
  <c r="M201" i="15" a="1"/>
  <c r="M201" i="15" s="1"/>
  <c r="M422" i="16" s="1"/>
  <c r="M578" i="16" s="1"/>
  <c r="M626" i="16" s="1"/>
  <c r="N190" i="15"/>
  <c r="M192" i="15"/>
  <c r="M188" i="15" a="1"/>
  <c r="M188" i="15" s="1"/>
  <c r="M587" i="16" s="1"/>
  <c r="M191" i="15"/>
  <c r="L582" i="16" l="1"/>
  <c r="L368" i="18" s="1"/>
  <c r="L279" i="16"/>
  <c r="L496" i="16" s="1"/>
  <c r="U27" i="15"/>
  <c r="U29" i="15"/>
  <c r="Z308" i="17"/>
  <c r="U26" i="15"/>
  <c r="M70" i="16" s="1"/>
  <c r="U28" i="15"/>
  <c r="U30" i="15"/>
  <c r="M62" i="15"/>
  <c r="M275" i="16" s="1"/>
  <c r="N198" i="15"/>
  <c r="N199" i="15"/>
  <c r="N73" i="15"/>
  <c r="M457" i="16"/>
  <c r="N74" i="15"/>
  <c r="M458" i="16"/>
  <c r="N71" i="15"/>
  <c r="M455" i="16"/>
  <c r="N69" i="15"/>
  <c r="M453" i="16"/>
  <c r="N70" i="15"/>
  <c r="M454" i="16"/>
  <c r="T156" i="16"/>
  <c r="T222" i="16"/>
  <c r="S223" i="16"/>
  <c r="U155" i="16"/>
  <c r="U159" i="16"/>
  <c r="U161" i="16" s="1"/>
  <c r="U162" i="16" s="1"/>
  <c r="L74" i="16"/>
  <c r="S30" i="15"/>
  <c r="L102" i="16" s="1"/>
  <c r="L70" i="16"/>
  <c r="S26" i="15"/>
  <c r="L98" i="16" s="1"/>
  <c r="L71" i="16"/>
  <c r="S27" i="15"/>
  <c r="L99" i="16" s="1"/>
  <c r="L72" i="16"/>
  <c r="S28" i="15"/>
  <c r="L100" i="16" s="1"/>
  <c r="L73" i="16"/>
  <c r="S29" i="15"/>
  <c r="L101" i="16" s="1"/>
  <c r="Y290" i="17"/>
  <c r="Y293" i="17" s="1"/>
  <c r="S31" i="15" s="1"/>
  <c r="O201" i="15" a="1"/>
  <c r="O201" i="15" s="1"/>
  <c r="O422" i="16" s="1"/>
  <c r="O578" i="16" s="1"/>
  <c r="O204" i="15"/>
  <c r="O205" i="15"/>
  <c r="N201" i="15" a="1"/>
  <c r="N201" i="15" s="1"/>
  <c r="N422" i="16" s="1"/>
  <c r="N578" i="16" s="1"/>
  <c r="N205" i="15"/>
  <c r="N204" i="15"/>
  <c r="AA603" i="17" a="1"/>
  <c r="AA603" i="17" s="1"/>
  <c r="AA604" i="17" a="1"/>
  <c r="AA604" i="17" s="1"/>
  <c r="AA600" i="17" a="1"/>
  <c r="AA600" i="17" s="1"/>
  <c r="AA599" i="17" a="1"/>
  <c r="AA599" i="17" s="1"/>
  <c r="AA601" i="17" a="1"/>
  <c r="AA601" i="17" s="1"/>
  <c r="AA424" i="17" a="1"/>
  <c r="AA424" i="17" s="1"/>
  <c r="AA423" i="17" a="1"/>
  <c r="AA423" i="17" s="1"/>
  <c r="AA568" i="17" a="1"/>
  <c r="AA568" i="17" s="1"/>
  <c r="AA422" i="17" a="1"/>
  <c r="AA422" i="17" s="1"/>
  <c r="AA421" i="17" a="1"/>
  <c r="AA421" i="17" s="1"/>
  <c r="AA331" i="17" a="1"/>
  <c r="AA331" i="17" s="1"/>
  <c r="AA193" i="17" a="1"/>
  <c r="AA193" i="17" s="1"/>
  <c r="AA189" i="17" a="1"/>
  <c r="AA189" i="17" s="1"/>
  <c r="AA182" i="17" a="1"/>
  <c r="AA182" i="17" s="1"/>
  <c r="AA327" i="17" a="1"/>
  <c r="AA327" i="17" s="1"/>
  <c r="AA192" i="17" a="1"/>
  <c r="AA192" i="17" s="1"/>
  <c r="AA185" i="17" a="1"/>
  <c r="AA185" i="17" s="1"/>
  <c r="AA181" i="17" a="1"/>
  <c r="AA181" i="17" s="1"/>
  <c r="AA32" i="17" a="1"/>
  <c r="AA32" i="17" s="1"/>
  <c r="AA28" i="17" a="1"/>
  <c r="AA28" i="17" s="1"/>
  <c r="AA21" i="17" a="1"/>
  <c r="AA21" i="17" s="1"/>
  <c r="AA17" i="17" a="1"/>
  <c r="AA17" i="17" s="1"/>
  <c r="AA10" i="17" a="1"/>
  <c r="AA10" i="17" s="1"/>
  <c r="AA325" i="17" s="1"/>
  <c r="AA184" i="17" a="1"/>
  <c r="AA184" i="17" s="1"/>
  <c r="AA37" i="17" a="1"/>
  <c r="AA37" i="17" s="1"/>
  <c r="AA27" i="17" a="1"/>
  <c r="AA27" i="17" s="1"/>
  <c r="AA16" i="17" a="1"/>
  <c r="AA16" i="17" s="1"/>
  <c r="AA190" i="17" a="1"/>
  <c r="AA190" i="17" s="1"/>
  <c r="AA30" i="17" a="1"/>
  <c r="AA30" i="17" s="1"/>
  <c r="AA19" i="17" a="1"/>
  <c r="AA19" i="17" s="1"/>
  <c r="AA22" i="17" a="1"/>
  <c r="AA22" i="17" s="1"/>
  <c r="AA31" i="17" a="1"/>
  <c r="AA31" i="17" s="1"/>
  <c r="AA20" i="17" a="1"/>
  <c r="AA20" i="17" s="1"/>
  <c r="AA191" i="17" a="1"/>
  <c r="AA191" i="17" s="1"/>
  <c r="AA335" i="17" a="1"/>
  <c r="AA335" i="17" s="1"/>
  <c r="AA183" i="17" a="1"/>
  <c r="AA183" i="17" s="1"/>
  <c r="AA33" i="17" a="1"/>
  <c r="AA33" i="17" s="1"/>
  <c r="AA14" i="17" a="1"/>
  <c r="AA14" i="17" s="1"/>
  <c r="AA34" i="17" a="1"/>
  <c r="AA34" i="17" s="1"/>
  <c r="AA15" i="17" a="1"/>
  <c r="AA15" i="17" s="1"/>
  <c r="AA29" i="17" a="1"/>
  <c r="AA29" i="17" s="1"/>
  <c r="AA18" i="17" a="1"/>
  <c r="AA18" i="17" s="1"/>
  <c r="AA23" i="17" a="1"/>
  <c r="AA23" i="17" s="1"/>
  <c r="Y38" i="17"/>
  <c r="L120" i="15" s="1"/>
  <c r="Y178" i="17"/>
  <c r="Y195" i="17"/>
  <c r="Z310" i="17"/>
  <c r="Z309" i="17"/>
  <c r="M71" i="16" s="1"/>
  <c r="Z311" i="17"/>
  <c r="M73" i="16" s="1"/>
  <c r="Z312" i="17"/>
  <c r="M74" i="16" s="1"/>
  <c r="Z194" i="17"/>
  <c r="Z186" i="17"/>
  <c r="Y40" i="17"/>
  <c r="Z24" i="17"/>
  <c r="AB6" i="17"/>
  <c r="Z35" i="17"/>
  <c r="Z11" i="17"/>
  <c r="P203" i="15"/>
  <c r="O190" i="15"/>
  <c r="N192" i="15"/>
  <c r="N191" i="15"/>
  <c r="N188" i="15" a="1"/>
  <c r="N188" i="15" s="1"/>
  <c r="N587" i="16" s="1"/>
  <c r="M72" i="16" l="1"/>
  <c r="M279" i="16"/>
  <c r="M496" i="16" s="1"/>
  <c r="M582" i="16"/>
  <c r="M368" i="18" s="1"/>
  <c r="Z290" i="17"/>
  <c r="U31" i="15"/>
  <c r="N62" i="15"/>
  <c r="N275" i="16" s="1"/>
  <c r="Y209" i="17"/>
  <c r="Y208" i="17"/>
  <c r="Y211" i="17"/>
  <c r="Y210" i="17"/>
  <c r="Y207" i="17"/>
  <c r="AA308" i="17"/>
  <c r="O198" i="15"/>
  <c r="O199" i="15"/>
  <c r="L195" i="15" a="1"/>
  <c r="L195" i="15" s="1"/>
  <c r="L374" i="18" s="1"/>
  <c r="M197" i="15"/>
  <c r="O69" i="15"/>
  <c r="N453" i="16"/>
  <c r="O71" i="15"/>
  <c r="N455" i="16"/>
  <c r="O74" i="15"/>
  <c r="N458" i="16"/>
  <c r="O70" i="15"/>
  <c r="N454" i="16"/>
  <c r="O73" i="15"/>
  <c r="N457" i="16"/>
  <c r="T223" i="16"/>
  <c r="U156" i="16"/>
  <c r="U222" i="16"/>
  <c r="L103" i="16"/>
  <c r="M100" i="16"/>
  <c r="M99" i="16"/>
  <c r="M98" i="16"/>
  <c r="M101" i="16"/>
  <c r="M102" i="16"/>
  <c r="Y292" i="17"/>
  <c r="Y291" i="17"/>
  <c r="P201" i="15" a="1"/>
  <c r="P201" i="15" s="1"/>
  <c r="P422" i="16" s="1"/>
  <c r="P578" i="16" s="1"/>
  <c r="P205" i="15"/>
  <c r="P204" i="15"/>
  <c r="AB600" i="17" a="1"/>
  <c r="AB600" i="17" s="1"/>
  <c r="AB604" i="17" a="1"/>
  <c r="AB604" i="17" s="1"/>
  <c r="AB599" i="17" a="1"/>
  <c r="AB599" i="17" s="1"/>
  <c r="AB601" i="17" a="1"/>
  <c r="AB601" i="17" s="1"/>
  <c r="AB603" i="17" a="1"/>
  <c r="AB603" i="17" s="1"/>
  <c r="AB424" i="17" a="1"/>
  <c r="AB424" i="17" s="1"/>
  <c r="AB423" i="17" a="1"/>
  <c r="AB423" i="17" s="1"/>
  <c r="AB568" i="17" a="1"/>
  <c r="AB568" i="17" s="1"/>
  <c r="AB422" i="17" a="1"/>
  <c r="AB422" i="17" s="1"/>
  <c r="AB421" i="17" a="1"/>
  <c r="AB421" i="17" s="1"/>
  <c r="L121" i="15"/>
  <c r="L118" i="15" s="1" a="1"/>
  <c r="L118" i="15" s="1"/>
  <c r="L16" i="16" s="1"/>
  <c r="L17" i="16" s="1"/>
  <c r="L122" i="15"/>
  <c r="Y41" i="17"/>
  <c r="L114" i="15" s="1"/>
  <c r="Y277" i="17"/>
  <c r="Y326" i="17"/>
  <c r="Y328" i="17" s="1"/>
  <c r="Y295" i="17"/>
  <c r="Z293" i="17"/>
  <c r="M102" i="15" s="1"/>
  <c r="Z292" i="17"/>
  <c r="Z291" i="17"/>
  <c r="AB331" i="17" a="1"/>
  <c r="AB331" i="17" s="1"/>
  <c r="AB193" i="17" a="1"/>
  <c r="AB193" i="17" s="1"/>
  <c r="AB189" i="17" a="1"/>
  <c r="AB189" i="17" s="1"/>
  <c r="AB182" i="17" a="1"/>
  <c r="AB182" i="17" s="1"/>
  <c r="AB327" i="17" a="1"/>
  <c r="AB327" i="17" s="1"/>
  <c r="AB192" i="17" a="1"/>
  <c r="AB192" i="17" s="1"/>
  <c r="AB185" i="17" a="1"/>
  <c r="AB185" i="17" s="1"/>
  <c r="AB181" i="17" a="1"/>
  <c r="AB181" i="17" s="1"/>
  <c r="AB32" i="17" a="1"/>
  <c r="AB32" i="17" s="1"/>
  <c r="AB28" i="17" a="1"/>
  <c r="AB28" i="17" s="1"/>
  <c r="AB21" i="17" a="1"/>
  <c r="AB21" i="17" s="1"/>
  <c r="AB17" i="17" a="1"/>
  <c r="AB17" i="17" s="1"/>
  <c r="AB10" i="17" a="1"/>
  <c r="AB10" i="17" s="1"/>
  <c r="AB325" i="17" s="1"/>
  <c r="AB191" i="17" a="1"/>
  <c r="AB191" i="17" s="1"/>
  <c r="AB184" i="17" a="1"/>
  <c r="AB184" i="17" s="1"/>
  <c r="AB37" i="17" a="1"/>
  <c r="AB37" i="17" s="1"/>
  <c r="AB31" i="17" a="1"/>
  <c r="AB31" i="17" s="1"/>
  <c r="AB27" i="17" a="1"/>
  <c r="AB27" i="17" s="1"/>
  <c r="AB20" i="17" a="1"/>
  <c r="AB20" i="17" s="1"/>
  <c r="AB16" i="17" a="1"/>
  <c r="AB16" i="17" s="1"/>
  <c r="AB335" i="17" a="1"/>
  <c r="AB335" i="17" s="1"/>
  <c r="AB190" i="17" a="1"/>
  <c r="AB190" i="17" s="1"/>
  <c r="AB183" i="17" a="1"/>
  <c r="AB183" i="17" s="1"/>
  <c r="AB34" i="17" a="1"/>
  <c r="AB34" i="17" s="1"/>
  <c r="AB30" i="17" a="1"/>
  <c r="AB30" i="17" s="1"/>
  <c r="AB23" i="17" a="1"/>
  <c r="AB23" i="17" s="1"/>
  <c r="AB19" i="17" a="1"/>
  <c r="AB19" i="17" s="1"/>
  <c r="AB15" i="17" a="1"/>
  <c r="AB15" i="17" s="1"/>
  <c r="AB18" i="17" a="1"/>
  <c r="AB18" i="17" s="1"/>
  <c r="AB33" i="17" a="1"/>
  <c r="AB33" i="17" s="1"/>
  <c r="AB22" i="17" a="1"/>
  <c r="AB22" i="17" s="1"/>
  <c r="AB14" i="17" a="1"/>
  <c r="AB14" i="17" s="1"/>
  <c r="AB29" i="17" a="1"/>
  <c r="AB29" i="17" s="1"/>
  <c r="Z38" i="17"/>
  <c r="M120" i="15" s="1"/>
  <c r="Z178" i="17"/>
  <c r="Y196" i="17"/>
  <c r="Y323" i="17"/>
  <c r="Y251" i="17"/>
  <c r="Y199" i="17"/>
  <c r="L26" i="15" s="1"/>
  <c r="Y200" i="17"/>
  <c r="L27" i="15" s="1"/>
  <c r="Y201" i="17"/>
  <c r="L28" i="15" s="1"/>
  <c r="Y203" i="17"/>
  <c r="L30" i="15" s="1"/>
  <c r="Y202" i="17"/>
  <c r="L29" i="15" s="1"/>
  <c r="AA311" i="17"/>
  <c r="AA312" i="17"/>
  <c r="Z195" i="17"/>
  <c r="AA310" i="17"/>
  <c r="AA309" i="17"/>
  <c r="AA194" i="17"/>
  <c r="AA290" i="17" s="1"/>
  <c r="AA186" i="17"/>
  <c r="AA178" i="17"/>
  <c r="AA210" i="17" s="1"/>
  <c r="AA11" i="17"/>
  <c r="AA35" i="17"/>
  <c r="AA24" i="17"/>
  <c r="AC6" i="17"/>
  <c r="Z40" i="17"/>
  <c r="Q203" i="15"/>
  <c r="O192" i="15"/>
  <c r="O191" i="15"/>
  <c r="O188" i="15" a="1"/>
  <c r="O188" i="15" s="1"/>
  <c r="O587" i="16" s="1"/>
  <c r="P190" i="15"/>
  <c r="Y332" i="17" l="1"/>
  <c r="Y329" i="17"/>
  <c r="Y330" i="17"/>
  <c r="N582" i="16"/>
  <c r="N368" i="18" s="1"/>
  <c r="N279" i="16"/>
  <c r="N496" i="16" s="1"/>
  <c r="AA209" i="17"/>
  <c r="Z207" i="17"/>
  <c r="Z209" i="17"/>
  <c r="Z208" i="17"/>
  <c r="Z211" i="17"/>
  <c r="Z210" i="17"/>
  <c r="AB308" i="17"/>
  <c r="AA211" i="17"/>
  <c r="AA208" i="17"/>
  <c r="O62" i="15"/>
  <c r="O275" i="16" s="1"/>
  <c r="AA207" i="17"/>
  <c r="P198" i="15"/>
  <c r="P199" i="15"/>
  <c r="M195" i="15" a="1"/>
  <c r="M195" i="15" s="1"/>
  <c r="M374" i="18" s="1"/>
  <c r="N197" i="15"/>
  <c r="P74" i="15"/>
  <c r="O458" i="16"/>
  <c r="P73" i="15"/>
  <c r="O457" i="16"/>
  <c r="P71" i="15"/>
  <c r="O455" i="16"/>
  <c r="P70" i="15"/>
  <c r="O454" i="16"/>
  <c r="P69" i="15"/>
  <c r="O453" i="16"/>
  <c r="U223" i="16"/>
  <c r="Y264" i="17"/>
  <c r="Y260" i="17"/>
  <c r="Y261" i="17" s="1"/>
  <c r="M103" i="16"/>
  <c r="L117" i="16"/>
  <c r="L130" i="16" s="1"/>
  <c r="L87" i="16"/>
  <c r="L102" i="15"/>
  <c r="Q201" i="15" a="1"/>
  <c r="Q201" i="15" s="1"/>
  <c r="Q422" i="16" s="1"/>
  <c r="Q578" i="16" s="1"/>
  <c r="Q205" i="15"/>
  <c r="Q204" i="15"/>
  <c r="AC600" i="17" a="1"/>
  <c r="AC600" i="17" s="1"/>
  <c r="AC604" i="17" a="1"/>
  <c r="AC604" i="17" s="1"/>
  <c r="AC599" i="17" a="1"/>
  <c r="AC599" i="17" s="1"/>
  <c r="AC601" i="17" a="1"/>
  <c r="AC601" i="17" s="1"/>
  <c r="AC603" i="17" a="1"/>
  <c r="AC603" i="17" s="1"/>
  <c r="Y303" i="17"/>
  <c r="K28" i="15" s="1"/>
  <c r="L122" i="16" s="1"/>
  <c r="Y304" i="17"/>
  <c r="K29" i="15" s="1"/>
  <c r="L123" i="16" s="1"/>
  <c r="M121" i="15"/>
  <c r="M118" i="15" s="1" a="1"/>
  <c r="M118" i="15" s="1"/>
  <c r="M16" i="16" s="1"/>
  <c r="M17" i="16" s="1"/>
  <c r="M122" i="15"/>
  <c r="Y302" i="17"/>
  <c r="K27" i="15" s="1"/>
  <c r="L121" i="16" s="1"/>
  <c r="Y305" i="17"/>
  <c r="K30" i="15" s="1"/>
  <c r="L124" i="16" s="1"/>
  <c r="AC423" i="17" a="1"/>
  <c r="AC423" i="17" s="1"/>
  <c r="AC568" i="17" a="1"/>
  <c r="AC568" i="17" s="1"/>
  <c r="AC422" i="17" a="1"/>
  <c r="AC422" i="17" s="1"/>
  <c r="AC421" i="17" a="1"/>
  <c r="AC421" i="17" s="1"/>
  <c r="AC424" i="17" a="1"/>
  <c r="AC424" i="17" s="1"/>
  <c r="L116" i="15"/>
  <c r="L115" i="15"/>
  <c r="L112" i="15" s="1" a="1"/>
  <c r="L112" i="15" s="1"/>
  <c r="L12" i="16" s="1"/>
  <c r="L13" i="16" s="1"/>
  <c r="Y281" i="17"/>
  <c r="Y279" i="17"/>
  <c r="Y280" i="17"/>
  <c r="Z41" i="17"/>
  <c r="M114" i="15" s="1"/>
  <c r="Z277" i="17"/>
  <c r="Z326" i="17"/>
  <c r="Z328" i="17" s="1"/>
  <c r="Z295" i="17"/>
  <c r="Y298" i="17"/>
  <c r="Y296" i="17"/>
  <c r="Y297" i="17"/>
  <c r="AA292" i="17"/>
  <c r="AA291" i="17"/>
  <c r="AA293" i="17"/>
  <c r="N102" i="15" s="1"/>
  <c r="AC327" i="17" a="1"/>
  <c r="AC327" i="17" s="1"/>
  <c r="AC192" i="17" a="1"/>
  <c r="AC192" i="17" s="1"/>
  <c r="AC185" i="17" a="1"/>
  <c r="AC185" i="17" s="1"/>
  <c r="AC181" i="17" a="1"/>
  <c r="AC181" i="17" s="1"/>
  <c r="AC10" i="17" a="1"/>
  <c r="AC10" i="17" s="1"/>
  <c r="AC325" i="17" s="1"/>
  <c r="AC191" i="17" a="1"/>
  <c r="AC191" i="17" s="1"/>
  <c r="AC184" i="17" a="1"/>
  <c r="AC184" i="17" s="1"/>
  <c r="AC37" i="17" a="1"/>
  <c r="AC37" i="17" s="1"/>
  <c r="AC31" i="17" a="1"/>
  <c r="AC31" i="17" s="1"/>
  <c r="AC27" i="17" a="1"/>
  <c r="AC27" i="17" s="1"/>
  <c r="AC20" i="17" a="1"/>
  <c r="AC20" i="17" s="1"/>
  <c r="AC16" i="17" a="1"/>
  <c r="AC16" i="17" s="1"/>
  <c r="AC335" i="17" a="1"/>
  <c r="AC335" i="17" s="1"/>
  <c r="AC190" i="17" a="1"/>
  <c r="AC190" i="17" s="1"/>
  <c r="AC30" i="17" a="1"/>
  <c r="AC30" i="17" s="1"/>
  <c r="AC19" i="17" a="1"/>
  <c r="AC19" i="17" s="1"/>
  <c r="AC193" i="17" a="1"/>
  <c r="AC193" i="17" s="1"/>
  <c r="AC33" i="17" a="1"/>
  <c r="AC33" i="17" s="1"/>
  <c r="AC22" i="17" a="1"/>
  <c r="AC22" i="17" s="1"/>
  <c r="AC14" i="17" a="1"/>
  <c r="AC14" i="17" s="1"/>
  <c r="AC34" i="17" a="1"/>
  <c r="AC34" i="17" s="1"/>
  <c r="AC15" i="17" a="1"/>
  <c r="AC15" i="17" s="1"/>
  <c r="AC18" i="17" a="1"/>
  <c r="AC18" i="17" s="1"/>
  <c r="AC183" i="17" a="1"/>
  <c r="AC183" i="17" s="1"/>
  <c r="AC331" i="17" a="1"/>
  <c r="AC331" i="17" s="1"/>
  <c r="AC189" i="17" a="1"/>
  <c r="AC189" i="17" s="1"/>
  <c r="AC28" i="17" a="1"/>
  <c r="AC28" i="17" s="1"/>
  <c r="AC182" i="17" a="1"/>
  <c r="AC182" i="17" s="1"/>
  <c r="AC29" i="17" a="1"/>
  <c r="AC29" i="17" s="1"/>
  <c r="AC32" i="17" a="1"/>
  <c r="AC32" i="17" s="1"/>
  <c r="AC21" i="17" a="1"/>
  <c r="AC21" i="17" s="1"/>
  <c r="AC17" i="17" a="1"/>
  <c r="AC17" i="17" s="1"/>
  <c r="AC23" i="17" a="1"/>
  <c r="AC23" i="17" s="1"/>
  <c r="Y336" i="17"/>
  <c r="Y340" i="17" s="1"/>
  <c r="Y342" i="17" s="1"/>
  <c r="Y569" i="17" s="1"/>
  <c r="Y571" i="17" s="1"/>
  <c r="L65" i="15" s="1"/>
  <c r="L426" i="16" s="1"/>
  <c r="AA200" i="17"/>
  <c r="AA302" i="17" s="1"/>
  <c r="AA203" i="17"/>
  <c r="AA305" i="17" s="1"/>
  <c r="AA201" i="17"/>
  <c r="AA303" i="17" s="1"/>
  <c r="AA202" i="17"/>
  <c r="AA304" i="17" s="1"/>
  <c r="Z323" i="17"/>
  <c r="Z251" i="17"/>
  <c r="Z203" i="17"/>
  <c r="Z199" i="17"/>
  <c r="M26" i="15" s="1"/>
  <c r="Z201" i="17"/>
  <c r="Z200" i="17"/>
  <c r="Z202" i="17"/>
  <c r="Y204" i="17"/>
  <c r="L31" i="15" s="1"/>
  <c r="Y301" i="17"/>
  <c r="K26" i="15" s="1"/>
  <c r="L120" i="16" s="1"/>
  <c r="AA323" i="17"/>
  <c r="AA251" i="17"/>
  <c r="Y212" i="17"/>
  <c r="AA199" i="17"/>
  <c r="AA301" i="17" s="1"/>
  <c r="Z196" i="17"/>
  <c r="AB312" i="17"/>
  <c r="AB310" i="17"/>
  <c r="AB309" i="17"/>
  <c r="AB311" i="17"/>
  <c r="AA195" i="17"/>
  <c r="AB186" i="17"/>
  <c r="AB194" i="17"/>
  <c r="AB290" i="17" s="1"/>
  <c r="AB35" i="17"/>
  <c r="AD6" i="17"/>
  <c r="AB11" i="17"/>
  <c r="AB24" i="17"/>
  <c r="AA40" i="17"/>
  <c r="AA38" i="17"/>
  <c r="N120" i="15" s="1"/>
  <c r="R203" i="15"/>
  <c r="P191" i="15"/>
  <c r="P192" i="15"/>
  <c r="P188" i="15" a="1"/>
  <c r="P188" i="15" s="1"/>
  <c r="P587" i="16" s="1"/>
  <c r="Q190" i="15"/>
  <c r="Z330" i="17" l="1"/>
  <c r="Z329" i="17"/>
  <c r="Y333" i="17"/>
  <c r="Y334" i="17"/>
  <c r="O279" i="16"/>
  <c r="O496" i="16" s="1"/>
  <c r="O582" i="16"/>
  <c r="O368" i="18" s="1"/>
  <c r="Z302" i="17"/>
  <c r="M27" i="15"/>
  <c r="M63" i="16" s="1"/>
  <c r="M121" i="16" s="1"/>
  <c r="Z303" i="17"/>
  <c r="M28" i="15"/>
  <c r="M64" i="16" s="1"/>
  <c r="M122" i="16" s="1"/>
  <c r="Z305" i="17"/>
  <c r="M30" i="15"/>
  <c r="M66" i="16" s="1"/>
  <c r="M124" i="16" s="1"/>
  <c r="AC308" i="17"/>
  <c r="P62" i="15"/>
  <c r="P275" i="16" s="1"/>
  <c r="Z304" i="17"/>
  <c r="M29" i="15"/>
  <c r="M65" i="16" s="1"/>
  <c r="M123" i="16" s="1"/>
  <c r="O197" i="15"/>
  <c r="N195" i="15" a="1"/>
  <c r="N195" i="15" s="1"/>
  <c r="N374" i="18" s="1"/>
  <c r="Q199" i="15"/>
  <c r="Q198" i="15"/>
  <c r="Q71" i="15"/>
  <c r="P455" i="16"/>
  <c r="Q69" i="15"/>
  <c r="P453" i="16"/>
  <c r="Q73" i="15"/>
  <c r="P457" i="16"/>
  <c r="Q70" i="15"/>
  <c r="P454" i="16"/>
  <c r="Q74" i="15"/>
  <c r="P458" i="16"/>
  <c r="L129" i="16"/>
  <c r="L173" i="16"/>
  <c r="L174" i="16" s="1"/>
  <c r="AA264" i="17"/>
  <c r="AA260" i="17"/>
  <c r="AA261" i="17" s="1"/>
  <c r="L131" i="16"/>
  <c r="L128" i="16"/>
  <c r="Y213" i="17"/>
  <c r="Y214" i="17" s="1"/>
  <c r="Z264" i="17"/>
  <c r="Z260" i="17"/>
  <c r="Z261" i="17" s="1"/>
  <c r="L132" i="16"/>
  <c r="L125" i="16"/>
  <c r="L93" i="16"/>
  <c r="L92" i="16"/>
  <c r="L91" i="16"/>
  <c r="L90" i="16"/>
  <c r="L94" i="16"/>
  <c r="M117" i="16"/>
  <c r="M87" i="16"/>
  <c r="L63" i="16"/>
  <c r="L66" i="16"/>
  <c r="L64" i="16"/>
  <c r="L65" i="16"/>
  <c r="Y285" i="17"/>
  <c r="Y288" i="17" s="1"/>
  <c r="K31" i="15" s="1"/>
  <c r="L103" i="15"/>
  <c r="L100" i="15" s="1" a="1"/>
  <c r="L100" i="15" s="1"/>
  <c r="L75" i="16" s="1"/>
  <c r="L104" i="15"/>
  <c r="M103" i="15"/>
  <c r="M100" i="15" s="1" a="1"/>
  <c r="M100" i="15" s="1"/>
  <c r="M75" i="16" s="1"/>
  <c r="M104" i="15"/>
  <c r="R201" i="15" a="1"/>
  <c r="R201" i="15" s="1"/>
  <c r="R422" i="16" s="1"/>
  <c r="R578" i="16" s="1"/>
  <c r="R205" i="15"/>
  <c r="R204" i="15"/>
  <c r="L21" i="16"/>
  <c r="L23" i="16" s="1"/>
  <c r="AD604" i="17" a="1"/>
  <c r="AD604" i="17" s="1"/>
  <c r="AD599" i="17" a="1"/>
  <c r="AD599" i="17" s="1"/>
  <c r="AD601" i="17" a="1"/>
  <c r="AD601" i="17" s="1"/>
  <c r="AD603" i="17" a="1"/>
  <c r="AD603" i="17" s="1"/>
  <c r="AD600" i="17" a="1"/>
  <c r="AD600" i="17" s="1"/>
  <c r="AD568" i="17" a="1"/>
  <c r="AD568" i="17" s="1"/>
  <c r="AD422" i="17" a="1"/>
  <c r="AD422" i="17" s="1"/>
  <c r="AD421" i="17" a="1"/>
  <c r="AD421" i="17" s="1"/>
  <c r="AD423" i="17" a="1"/>
  <c r="AD423" i="17" s="1"/>
  <c r="AD424" i="17" a="1"/>
  <c r="AD424" i="17" s="1"/>
  <c r="M116" i="15"/>
  <c r="M115" i="15"/>
  <c r="M112" i="15" s="1" a="1"/>
  <c r="M112" i="15" s="1"/>
  <c r="M12" i="16" s="1"/>
  <c r="M13" i="16" s="1"/>
  <c r="N122" i="15"/>
  <c r="N121" i="15"/>
  <c r="N118" i="15" s="1" a="1"/>
  <c r="N118" i="15" s="1"/>
  <c r="N16" i="16" s="1"/>
  <c r="N17" i="16" s="1"/>
  <c r="Y344" i="17"/>
  <c r="Y345" i="17" s="1"/>
  <c r="Y343" i="17"/>
  <c r="Y541" i="17" s="1"/>
  <c r="Y570" i="17" s="1"/>
  <c r="Z332" i="17"/>
  <c r="Z279" i="17"/>
  <c r="Z281" i="17"/>
  <c r="Z280" i="17"/>
  <c r="AA41" i="17"/>
  <c r="N114" i="15" s="1"/>
  <c r="AA277" i="17"/>
  <c r="AA326" i="17"/>
  <c r="AA328" i="17" s="1"/>
  <c r="AA295" i="17"/>
  <c r="Z298" i="17"/>
  <c r="Z297" i="17"/>
  <c r="Z296" i="17"/>
  <c r="AB292" i="17"/>
  <c r="AB291" i="17"/>
  <c r="AB293" i="17"/>
  <c r="O102" i="15" s="1"/>
  <c r="AD327" i="17" a="1"/>
  <c r="AD327" i="17" s="1"/>
  <c r="AD192" i="17" a="1"/>
  <c r="AD192" i="17" s="1"/>
  <c r="AD185" i="17" a="1"/>
  <c r="AD185" i="17" s="1"/>
  <c r="AD181" i="17" a="1"/>
  <c r="AD181" i="17" s="1"/>
  <c r="AD191" i="17" a="1"/>
  <c r="AD191" i="17" s="1"/>
  <c r="AD184" i="17" a="1"/>
  <c r="AD184" i="17" s="1"/>
  <c r="AD37" i="17" a="1"/>
  <c r="AD37" i="17" s="1"/>
  <c r="AD31" i="17" a="1"/>
  <c r="AD31" i="17" s="1"/>
  <c r="AD27" i="17" a="1"/>
  <c r="AD27" i="17" s="1"/>
  <c r="AD20" i="17" a="1"/>
  <c r="AD20" i="17" s="1"/>
  <c r="AD16" i="17" a="1"/>
  <c r="AD16" i="17" s="1"/>
  <c r="AD335" i="17" a="1"/>
  <c r="AD335" i="17" s="1"/>
  <c r="AD190" i="17" a="1"/>
  <c r="AD190" i="17" s="1"/>
  <c r="AD183" i="17" a="1"/>
  <c r="AD183" i="17" s="1"/>
  <c r="AD34" i="17" a="1"/>
  <c r="AD34" i="17" s="1"/>
  <c r="AD30" i="17" a="1"/>
  <c r="AD30" i="17" s="1"/>
  <c r="AD23" i="17" a="1"/>
  <c r="AD23" i="17" s="1"/>
  <c r="AD19" i="17" a="1"/>
  <c r="AD19" i="17" s="1"/>
  <c r="AD15" i="17" a="1"/>
  <c r="AD15" i="17" s="1"/>
  <c r="AD331" i="17" a="1"/>
  <c r="AD331" i="17" s="1"/>
  <c r="AD193" i="17" a="1"/>
  <c r="AD193" i="17" s="1"/>
  <c r="AD189" i="17" a="1"/>
  <c r="AD189" i="17" s="1"/>
  <c r="AD182" i="17" a="1"/>
  <c r="AD182" i="17" s="1"/>
  <c r="AD33" i="17" a="1"/>
  <c r="AD33" i="17" s="1"/>
  <c r="AD29" i="17" a="1"/>
  <c r="AD29" i="17" s="1"/>
  <c r="AD22" i="17" a="1"/>
  <c r="AD22" i="17" s="1"/>
  <c r="AD18" i="17" a="1"/>
  <c r="AD18" i="17" s="1"/>
  <c r="AD14" i="17" a="1"/>
  <c r="AD14" i="17" s="1"/>
  <c r="AD32" i="17" a="1"/>
  <c r="AD32" i="17" s="1"/>
  <c r="AD10" i="17" a="1"/>
  <c r="AD10" i="17" s="1"/>
  <c r="AD325" i="17" s="1"/>
  <c r="AD28" i="17" a="1"/>
  <c r="AD28" i="17" s="1"/>
  <c r="AD17" i="17" a="1"/>
  <c r="AD17" i="17" s="1"/>
  <c r="AD21" i="17" a="1"/>
  <c r="AD21" i="17" s="1"/>
  <c r="AA212" i="17"/>
  <c r="AA204" i="17"/>
  <c r="AA285" i="17" s="1"/>
  <c r="Z212" i="17"/>
  <c r="Z204" i="17"/>
  <c r="Z301" i="17"/>
  <c r="AB38" i="17"/>
  <c r="O120" i="15" s="1"/>
  <c r="AB178" i="17"/>
  <c r="AA196" i="17"/>
  <c r="AC310" i="17"/>
  <c r="AC309" i="17"/>
  <c r="AC311" i="17"/>
  <c r="AC312" i="17"/>
  <c r="AB40" i="17"/>
  <c r="AC194" i="17"/>
  <c r="AC290" i="17" s="1"/>
  <c r="AB195" i="17"/>
  <c r="AC186" i="17"/>
  <c r="AC24" i="17"/>
  <c r="AC178" i="17"/>
  <c r="AC200" i="17" s="1"/>
  <c r="AC302" i="17" s="1"/>
  <c r="AC11" i="17"/>
  <c r="AC35" i="17"/>
  <c r="AE6" i="17"/>
  <c r="S203" i="15"/>
  <c r="Q188" i="15" a="1"/>
  <c r="Q188" i="15" s="1"/>
  <c r="Q587" i="16" s="1"/>
  <c r="Q192" i="15"/>
  <c r="Q191" i="15"/>
  <c r="R190" i="15"/>
  <c r="Z336" i="17" l="1"/>
  <c r="Z333" i="17"/>
  <c r="Z334" i="17"/>
  <c r="AA330" i="17"/>
  <c r="AA329" i="17"/>
  <c r="P279" i="16"/>
  <c r="P496" i="16" s="1"/>
  <c r="P582" i="16"/>
  <c r="P368" i="18" s="1"/>
  <c r="Z285" i="17"/>
  <c r="Z288" i="17" s="1"/>
  <c r="M31" i="15"/>
  <c r="Q62" i="15"/>
  <c r="Q275" i="16" s="1"/>
  <c r="Q279" i="16" s="1"/>
  <c r="Q496" i="16" s="1"/>
  <c r="AC211" i="17"/>
  <c r="AC210" i="17"/>
  <c r="AB210" i="17"/>
  <c r="AB211" i="17"/>
  <c r="AB208" i="17"/>
  <c r="AB207" i="17"/>
  <c r="AB209" i="17"/>
  <c r="AC209" i="17"/>
  <c r="AC207" i="17"/>
  <c r="AD308" i="17"/>
  <c r="AC208" i="17"/>
  <c r="R199" i="15"/>
  <c r="R198" i="15"/>
  <c r="P197" i="15"/>
  <c r="O195" i="15" a="1"/>
  <c r="O195" i="15" s="1"/>
  <c r="O374" i="18" s="1"/>
  <c r="R73" i="15"/>
  <c r="Q457" i="16"/>
  <c r="R74" i="15"/>
  <c r="Q458" i="16"/>
  <c r="R69" i="15"/>
  <c r="Q453" i="16"/>
  <c r="R70" i="15"/>
  <c r="Q454" i="16"/>
  <c r="R71" i="15"/>
  <c r="Q455" i="16"/>
  <c r="L24" i="16"/>
  <c r="L176" i="16"/>
  <c r="M130" i="16"/>
  <c r="M173" i="16"/>
  <c r="M174" i="16" s="1"/>
  <c r="L133" i="16"/>
  <c r="L135" i="16" s="1"/>
  <c r="L136" i="16" s="1"/>
  <c r="Z213" i="17"/>
  <c r="Z214" i="17" s="1"/>
  <c r="AA213" i="17"/>
  <c r="M94" i="16"/>
  <c r="M93" i="16"/>
  <c r="M92" i="16"/>
  <c r="M91" i="16"/>
  <c r="M128" i="16"/>
  <c r="M129" i="16"/>
  <c r="M132" i="16"/>
  <c r="N117" i="16"/>
  <c r="N173" i="16" s="1"/>
  <c r="N87" i="16"/>
  <c r="M131" i="16"/>
  <c r="L95" i="16"/>
  <c r="L105" i="16" s="1"/>
  <c r="Y286" i="17"/>
  <c r="M62" i="16"/>
  <c r="M120" i="16" s="1"/>
  <c r="L62" i="16"/>
  <c r="Y287" i="17"/>
  <c r="S201" i="15" a="1"/>
  <c r="S201" i="15" s="1"/>
  <c r="S422" i="16" s="1"/>
  <c r="S578" i="16" s="1"/>
  <c r="S205" i="15"/>
  <c r="S204" i="15"/>
  <c r="M21" i="16"/>
  <c r="M23" i="16" s="1"/>
  <c r="Y347" i="17"/>
  <c r="Y350" i="17" s="1"/>
  <c r="U687" i="17" s="1"/>
  <c r="AE599" i="17" a="1"/>
  <c r="AE599" i="17" s="1"/>
  <c r="AE601" i="17" a="1"/>
  <c r="AE601" i="17" s="1"/>
  <c r="AE603" i="17" a="1"/>
  <c r="AE603" i="17" s="1"/>
  <c r="AE600" i="17" a="1"/>
  <c r="AE600" i="17" s="1"/>
  <c r="AE604" i="17" a="1"/>
  <c r="AE604" i="17" s="1"/>
  <c r="AE568" i="17" a="1"/>
  <c r="AE568" i="17" s="1"/>
  <c r="AE422" i="17" a="1"/>
  <c r="AE422" i="17" s="1"/>
  <c r="AE421" i="17" a="1"/>
  <c r="AE421" i="17" s="1"/>
  <c r="AE424" i="17" a="1"/>
  <c r="AE424" i="17" s="1"/>
  <c r="AE423" i="17" a="1"/>
  <c r="AE423" i="17" s="1"/>
  <c r="O122" i="15"/>
  <c r="O121" i="15"/>
  <c r="O118" i="15" s="1" a="1"/>
  <c r="O118" i="15" s="1"/>
  <c r="O16" i="16" s="1"/>
  <c r="O17" i="16" s="1"/>
  <c r="N115" i="15"/>
  <c r="N112" i="15" s="1" a="1"/>
  <c r="N112" i="15" s="1"/>
  <c r="N12" i="16" s="1"/>
  <c r="N13" i="16" s="1"/>
  <c r="N116" i="15"/>
  <c r="AA279" i="17"/>
  <c r="AA280" i="17"/>
  <c r="AA281" i="17"/>
  <c r="AB41" i="17"/>
  <c r="O114" i="15" s="1"/>
  <c r="AB277" i="17"/>
  <c r="AA332" i="17"/>
  <c r="AB326" i="17"/>
  <c r="AB328" i="17" s="1"/>
  <c r="AB295" i="17"/>
  <c r="AA297" i="17"/>
  <c r="AA296" i="17"/>
  <c r="AA298" i="17"/>
  <c r="AC292" i="17"/>
  <c r="AC291" i="17"/>
  <c r="AC293" i="17"/>
  <c r="P102" i="15" s="1"/>
  <c r="AA287" i="17"/>
  <c r="AA286" i="17"/>
  <c r="AA288" i="17"/>
  <c r="N96" i="15" s="1"/>
  <c r="AE191" i="17" a="1"/>
  <c r="AE191" i="17" s="1"/>
  <c r="AE184" i="17" a="1"/>
  <c r="AE184" i="17" s="1"/>
  <c r="AE335" i="17" a="1"/>
  <c r="AE335" i="17" s="1"/>
  <c r="AE190" i="17" a="1"/>
  <c r="AE190" i="17" s="1"/>
  <c r="AE183" i="17" a="1"/>
  <c r="AE183" i="17" s="1"/>
  <c r="AE34" i="17" a="1"/>
  <c r="AE34" i="17" s="1"/>
  <c r="AE30" i="17" a="1"/>
  <c r="AE30" i="17" s="1"/>
  <c r="AE23" i="17" a="1"/>
  <c r="AE23" i="17" s="1"/>
  <c r="AE19" i="17" a="1"/>
  <c r="AE19" i="17" s="1"/>
  <c r="AE15" i="17" a="1"/>
  <c r="AE15" i="17" s="1"/>
  <c r="AE331" i="17" a="1"/>
  <c r="AE331" i="17" s="1"/>
  <c r="AE193" i="17" a="1"/>
  <c r="AE193" i="17" s="1"/>
  <c r="AE33" i="17" a="1"/>
  <c r="AE33" i="17" s="1"/>
  <c r="AE22" i="17" a="1"/>
  <c r="AE22" i="17" s="1"/>
  <c r="AE14" i="17" a="1"/>
  <c r="AE14" i="17" s="1"/>
  <c r="AE28" i="17" a="1"/>
  <c r="AE28" i="17" s="1"/>
  <c r="AE17" i="17" a="1"/>
  <c r="AE17" i="17" s="1"/>
  <c r="AE327" i="17" a="1"/>
  <c r="AE327" i="17" s="1"/>
  <c r="AE29" i="17" a="1"/>
  <c r="AE29" i="17" s="1"/>
  <c r="AE18" i="17" a="1"/>
  <c r="AE18" i="17" s="1"/>
  <c r="AE185" i="17" a="1"/>
  <c r="AE185" i="17" s="1"/>
  <c r="AE10" i="17" a="1"/>
  <c r="AE10" i="17" s="1"/>
  <c r="AE325" i="17" s="1"/>
  <c r="AE27" i="17" a="1"/>
  <c r="AE27" i="17" s="1"/>
  <c r="AE189" i="17" a="1"/>
  <c r="AE189" i="17" s="1"/>
  <c r="AE192" i="17" a="1"/>
  <c r="AE192" i="17" s="1"/>
  <c r="AE31" i="17" a="1"/>
  <c r="AE31" i="17" s="1"/>
  <c r="AE20" i="17" a="1"/>
  <c r="AE20" i="17" s="1"/>
  <c r="AE182" i="17" a="1"/>
  <c r="AE182" i="17" s="1"/>
  <c r="AE21" i="17" a="1"/>
  <c r="AE21" i="17" s="1"/>
  <c r="AE181" i="17" a="1"/>
  <c r="AE181" i="17" s="1"/>
  <c r="AE37" i="17" a="1"/>
  <c r="AE37" i="17" s="1"/>
  <c r="AE16" i="17" a="1"/>
  <c r="AE16" i="17" s="1"/>
  <c r="AE32" i="17" a="1"/>
  <c r="AE32" i="17" s="1"/>
  <c r="Z340" i="17"/>
  <c r="Z342" i="17" s="1"/>
  <c r="Z569" i="17" s="1"/>
  <c r="Z571" i="17" s="1"/>
  <c r="M65" i="15" s="1"/>
  <c r="M426" i="16" s="1"/>
  <c r="AC202" i="17"/>
  <c r="AC304" i="17" s="1"/>
  <c r="AB323" i="17"/>
  <c r="AB251" i="17"/>
  <c r="AB203" i="17"/>
  <c r="AB305" i="17" s="1"/>
  <c r="AB199" i="17"/>
  <c r="AB202" i="17"/>
  <c r="AB304" i="17" s="1"/>
  <c r="AB201" i="17"/>
  <c r="AB303" i="17" s="1"/>
  <c r="AB200" i="17"/>
  <c r="AB302" i="17" s="1"/>
  <c r="AC323" i="17"/>
  <c r="AC251" i="17"/>
  <c r="AC203" i="17"/>
  <c r="AC305" i="17" s="1"/>
  <c r="AC199" i="17"/>
  <c r="AC201" i="17"/>
  <c r="AC303" i="17" s="1"/>
  <c r="AB196" i="17"/>
  <c r="AD310" i="17"/>
  <c r="AD311" i="17"/>
  <c r="AD309" i="17"/>
  <c r="AD312" i="17"/>
  <c r="AC195" i="17"/>
  <c r="AD186" i="17"/>
  <c r="AD194" i="17"/>
  <c r="AD290" i="17" s="1"/>
  <c r="AD35" i="17"/>
  <c r="AD11" i="17"/>
  <c r="AD24" i="17"/>
  <c r="AF6" i="17"/>
  <c r="AC40" i="17"/>
  <c r="AC38" i="17"/>
  <c r="P120" i="15" s="1"/>
  <c r="T203" i="15"/>
  <c r="R192" i="15"/>
  <c r="R188" i="15" a="1"/>
  <c r="R188" i="15" s="1"/>
  <c r="R587" i="16" s="1"/>
  <c r="R191" i="15"/>
  <c r="S190" i="15"/>
  <c r="Z286" i="17" l="1"/>
  <c r="Z287" i="17"/>
  <c r="AB330" i="17"/>
  <c r="AB329" i="17"/>
  <c r="AA336" i="17"/>
  <c r="AA340" i="17" s="1"/>
  <c r="AA342" i="17" s="1"/>
  <c r="AA569" i="17" s="1"/>
  <c r="AA571" i="17" s="1"/>
  <c r="N65" i="15" s="1"/>
  <c r="N426" i="16" s="1"/>
  <c r="AA333" i="17"/>
  <c r="AA334" i="17"/>
  <c r="AA176" i="16"/>
  <c r="AE308" i="17"/>
  <c r="Q582" i="16"/>
  <c r="Q368" i="18" s="1"/>
  <c r="R62" i="15"/>
  <c r="R275" i="16" s="1"/>
  <c r="S199" i="15"/>
  <c r="S198" i="15"/>
  <c r="Q197" i="15"/>
  <c r="P195" i="15" a="1"/>
  <c r="P195" i="15" s="1"/>
  <c r="P374" i="18" s="1"/>
  <c r="L449" i="16"/>
  <c r="L461" i="16" s="1"/>
  <c r="L313" i="16" s="1"/>
  <c r="L572" i="16"/>
  <c r="S71" i="15"/>
  <c r="R455" i="16"/>
  <c r="S74" i="15"/>
  <c r="R458" i="16"/>
  <c r="S70" i="15"/>
  <c r="R454" i="16"/>
  <c r="S73" i="15"/>
  <c r="R457" i="16"/>
  <c r="S69" i="15"/>
  <c r="R453" i="16"/>
  <c r="N174" i="16"/>
  <c r="AA214" i="17"/>
  <c r="L177" i="16"/>
  <c r="L106" i="16"/>
  <c r="L178" i="16"/>
  <c r="M24" i="16"/>
  <c r="M176" i="16"/>
  <c r="AC264" i="17"/>
  <c r="AC260" i="17"/>
  <c r="AC261" i="17" s="1"/>
  <c r="AB264" i="17"/>
  <c r="AB260" i="17"/>
  <c r="AB261" i="17" s="1"/>
  <c r="M133" i="16"/>
  <c r="M125" i="16"/>
  <c r="O117" i="16"/>
  <c r="O173" i="16" s="1"/>
  <c r="O174" i="16" s="1"/>
  <c r="O87" i="16"/>
  <c r="M90" i="16"/>
  <c r="M95" i="16" s="1"/>
  <c r="M96" i="15"/>
  <c r="T201" i="15" a="1"/>
  <c r="T201" i="15" s="1"/>
  <c r="T422" i="16" s="1"/>
  <c r="T578" i="16" s="1"/>
  <c r="T205" i="15"/>
  <c r="T204" i="15"/>
  <c r="N21" i="16"/>
  <c r="N23" i="16" s="1"/>
  <c r="Y351" i="17"/>
  <c r="Y353" i="17" s="1"/>
  <c r="AF599" i="17" a="1"/>
  <c r="AF599" i="17" s="1"/>
  <c r="AF601" i="17" a="1"/>
  <c r="AF601" i="17" s="1"/>
  <c r="AF603" i="17" a="1"/>
  <c r="AF603" i="17" s="1"/>
  <c r="AF600" i="17" a="1"/>
  <c r="AF600" i="17" s="1"/>
  <c r="AF604" i="17" a="1"/>
  <c r="AF604" i="17" s="1"/>
  <c r="AF422" i="17" a="1"/>
  <c r="AF422" i="17" s="1"/>
  <c r="AF421" i="17" a="1"/>
  <c r="AF421" i="17" s="1"/>
  <c r="AF424" i="17" a="1"/>
  <c r="AF424" i="17" s="1"/>
  <c r="AF423" i="17" a="1"/>
  <c r="AF423" i="17" s="1"/>
  <c r="AF568" i="17" a="1"/>
  <c r="AF568" i="17" s="1"/>
  <c r="Z344" i="17"/>
  <c r="Z347" i="17" s="1"/>
  <c r="Z350" i="17" s="1"/>
  <c r="Z343" i="17"/>
  <c r="Z541" i="17" s="1"/>
  <c r="Z570" i="17" s="1"/>
  <c r="AA344" i="17"/>
  <c r="AA343" i="17"/>
  <c r="AA541" i="17" s="1"/>
  <c r="AA570" i="17" s="1"/>
  <c r="P122" i="15"/>
  <c r="P121" i="15"/>
  <c r="P118" i="15" s="1" a="1"/>
  <c r="P118" i="15" s="1"/>
  <c r="P16" i="16" s="1"/>
  <c r="P17" i="16" s="1"/>
  <c r="O115" i="15"/>
  <c r="O112" i="15" s="1" a="1"/>
  <c r="O112" i="15" s="1"/>
  <c r="O12" i="16" s="1"/>
  <c r="O13" i="16" s="1"/>
  <c r="O116" i="15"/>
  <c r="AB281" i="17"/>
  <c r="AB279" i="17"/>
  <c r="AB280" i="17"/>
  <c r="AC41" i="17"/>
  <c r="P114" i="15" s="1"/>
  <c r="AC277" i="17"/>
  <c r="AB332" i="17"/>
  <c r="AC326" i="17"/>
  <c r="AC328" i="17" s="1"/>
  <c r="AC295" i="17"/>
  <c r="AB297" i="17"/>
  <c r="AB296" i="17"/>
  <c r="AB298" i="17"/>
  <c r="AD292" i="17"/>
  <c r="AD291" i="17"/>
  <c r="AD293" i="17"/>
  <c r="Q102" i="15" s="1"/>
  <c r="AF191" i="17" a="1"/>
  <c r="AF191" i="17" s="1"/>
  <c r="AF184" i="17" a="1"/>
  <c r="AF184" i="17" s="1"/>
  <c r="AF335" i="17" a="1"/>
  <c r="AF335" i="17" s="1"/>
  <c r="AF190" i="17" a="1"/>
  <c r="AF190" i="17" s="1"/>
  <c r="AF183" i="17" a="1"/>
  <c r="AF183" i="17" s="1"/>
  <c r="AF34" i="17" a="1"/>
  <c r="AF34" i="17" s="1"/>
  <c r="AF30" i="17" a="1"/>
  <c r="AF30" i="17" s="1"/>
  <c r="AF23" i="17" a="1"/>
  <c r="AF23" i="17" s="1"/>
  <c r="AF19" i="17" a="1"/>
  <c r="AF19" i="17" s="1"/>
  <c r="AF15" i="17" a="1"/>
  <c r="AF15" i="17" s="1"/>
  <c r="AF331" i="17" a="1"/>
  <c r="AF331" i="17" s="1"/>
  <c r="AF193" i="17" a="1"/>
  <c r="AF193" i="17" s="1"/>
  <c r="AF189" i="17" a="1"/>
  <c r="AF189" i="17" s="1"/>
  <c r="AF182" i="17" a="1"/>
  <c r="AF182" i="17" s="1"/>
  <c r="AF33" i="17" a="1"/>
  <c r="AF33" i="17" s="1"/>
  <c r="AF29" i="17" a="1"/>
  <c r="AF29" i="17" s="1"/>
  <c r="AF22" i="17" a="1"/>
  <c r="AF22" i="17" s="1"/>
  <c r="AF18" i="17" a="1"/>
  <c r="AF18" i="17" s="1"/>
  <c r="AF14" i="17" a="1"/>
  <c r="AF14" i="17" s="1"/>
  <c r="AF327" i="17" a="1"/>
  <c r="AF327" i="17" s="1"/>
  <c r="AF192" i="17" a="1"/>
  <c r="AF192" i="17" s="1"/>
  <c r="AF185" i="17" a="1"/>
  <c r="AF185" i="17" s="1"/>
  <c r="AF181" i="17" a="1"/>
  <c r="AF181" i="17" s="1"/>
  <c r="AF32" i="17" a="1"/>
  <c r="AF32" i="17" s="1"/>
  <c r="AF28" i="17" a="1"/>
  <c r="AF28" i="17" s="1"/>
  <c r="AF21" i="17" a="1"/>
  <c r="AF21" i="17" s="1"/>
  <c r="AF17" i="17" a="1"/>
  <c r="AF17" i="17" s="1"/>
  <c r="AF10" i="17" a="1"/>
  <c r="AF10" i="17" s="1"/>
  <c r="AF325" i="17" s="1"/>
  <c r="AF27" i="17" a="1"/>
  <c r="AF27" i="17" s="1"/>
  <c r="AF31" i="17" a="1"/>
  <c r="AF31" i="17" s="1"/>
  <c r="AF20" i="17" a="1"/>
  <c r="AF20" i="17" s="1"/>
  <c r="AF37" i="17" a="1"/>
  <c r="AF37" i="17" s="1"/>
  <c r="AF16" i="17" a="1"/>
  <c r="AF16" i="17" s="1"/>
  <c r="AC204" i="17"/>
  <c r="AC285" i="17" s="1"/>
  <c r="AC301" i="17"/>
  <c r="AC212" i="17"/>
  <c r="AB204" i="17"/>
  <c r="AB285" i="17" s="1"/>
  <c r="AB301" i="17"/>
  <c r="AD38" i="17"/>
  <c r="Q120" i="15" s="1"/>
  <c r="AD178" i="17"/>
  <c r="AB212" i="17"/>
  <c r="AC196" i="17"/>
  <c r="AE309" i="17"/>
  <c r="AE311" i="17"/>
  <c r="AE312" i="17"/>
  <c r="AE310" i="17"/>
  <c r="AD195" i="17"/>
  <c r="AE186" i="17"/>
  <c r="AE194" i="17"/>
  <c r="AE290" i="17" s="1"/>
  <c r="AD40" i="17"/>
  <c r="AE35" i="17"/>
  <c r="AE24" i="17"/>
  <c r="AE11" i="17"/>
  <c r="AG6" i="17"/>
  <c r="U203" i="15"/>
  <c r="S191" i="15"/>
  <c r="S188" i="15" a="1"/>
  <c r="S188" i="15" s="1"/>
  <c r="S587" i="16" s="1"/>
  <c r="S192" i="15"/>
  <c r="T190" i="15"/>
  <c r="AC332" i="17" l="1"/>
  <c r="AC336" i="17" s="1"/>
  <c r="AC330" i="17"/>
  <c r="AC329" i="17"/>
  <c r="AB333" i="17"/>
  <c r="AB334" i="17"/>
  <c r="AA177" i="16"/>
  <c r="R279" i="16"/>
  <c r="R496" i="16" s="1"/>
  <c r="R582" i="16"/>
  <c r="R368" i="18" s="1"/>
  <c r="AF308" i="17"/>
  <c r="AD211" i="17"/>
  <c r="AD208" i="17"/>
  <c r="AD209" i="17"/>
  <c r="AD207" i="17"/>
  <c r="AD210" i="17"/>
  <c r="S62" i="15"/>
  <c r="S275" i="16" s="1"/>
  <c r="R197" i="15"/>
  <c r="Q195" i="15" a="1"/>
  <c r="Q195" i="15" s="1"/>
  <c r="Q374" i="18" s="1"/>
  <c r="T199" i="15"/>
  <c r="T198" i="15"/>
  <c r="L573" i="16"/>
  <c r="L622" i="16"/>
  <c r="M449" i="16"/>
  <c r="M461" i="16" s="1"/>
  <c r="M313" i="16" s="1"/>
  <c r="M572" i="16"/>
  <c r="L179" i="16"/>
  <c r="L450" i="16"/>
  <c r="T69" i="15"/>
  <c r="S453" i="16"/>
  <c r="T74" i="15"/>
  <c r="S458" i="16"/>
  <c r="T73" i="15"/>
  <c r="S457" i="16"/>
  <c r="T71" i="15"/>
  <c r="S455" i="16"/>
  <c r="T70" i="15"/>
  <c r="S454" i="16"/>
  <c r="L181" i="16"/>
  <c r="M177" i="16"/>
  <c r="N24" i="16"/>
  <c r="N176" i="16"/>
  <c r="AB213" i="17"/>
  <c r="AB214" i="17" s="1"/>
  <c r="AC213" i="17"/>
  <c r="M135" i="16"/>
  <c r="M136" i="16" s="1"/>
  <c r="M105" i="16"/>
  <c r="P117" i="16"/>
  <c r="P173" i="16" s="1"/>
  <c r="P174" i="16" s="1"/>
  <c r="P87" i="16"/>
  <c r="L96" i="15"/>
  <c r="L98" i="15" s="1"/>
  <c r="M98" i="15"/>
  <c r="M97" i="15"/>
  <c r="M94" i="15" s="1" a="1"/>
  <c r="M94" i="15" s="1"/>
  <c r="M67" i="16" s="1"/>
  <c r="U201" i="15" a="1"/>
  <c r="U201" i="15" s="1"/>
  <c r="U422" i="16" s="1"/>
  <c r="U578" i="16" s="1"/>
  <c r="U204" i="15"/>
  <c r="U205" i="15"/>
  <c r="O21" i="16"/>
  <c r="O23" i="16" s="1"/>
  <c r="Y352" i="17"/>
  <c r="AA345" i="17"/>
  <c r="Z351" i="17"/>
  <c r="Z352" i="17" s="1"/>
  <c r="Z345" i="17"/>
  <c r="AG601" i="17" a="1"/>
  <c r="AG601" i="17" s="1"/>
  <c r="AG603" i="17" a="1"/>
  <c r="AG603" i="17" s="1"/>
  <c r="AG600" i="17" a="1"/>
  <c r="AG600" i="17" s="1"/>
  <c r="AG604" i="17" a="1"/>
  <c r="AG604" i="17" s="1"/>
  <c r="AG599" i="17" a="1"/>
  <c r="AG599" i="17" s="1"/>
  <c r="AA347" i="17"/>
  <c r="AA350" i="17" s="1"/>
  <c r="AA351" i="17" s="1"/>
  <c r="AA353" i="17" s="1"/>
  <c r="AG424" i="17" a="1"/>
  <c r="AG424" i="17" s="1"/>
  <c r="AG423" i="17" a="1"/>
  <c r="AG423" i="17" s="1"/>
  <c r="AG568" i="17" a="1"/>
  <c r="AG568" i="17" s="1"/>
  <c r="AG422" i="17" a="1"/>
  <c r="AG422" i="17" s="1"/>
  <c r="AG421" i="17" a="1"/>
  <c r="AG421" i="17" s="1"/>
  <c r="P115" i="15"/>
  <c r="P112" i="15" s="1" a="1"/>
  <c r="P112" i="15" s="1"/>
  <c r="P12" i="16" s="1"/>
  <c r="P13" i="16" s="1"/>
  <c r="P116" i="15"/>
  <c r="Q122" i="15"/>
  <c r="Q121" i="15"/>
  <c r="Q118" i="15" s="1" a="1"/>
  <c r="Q118" i="15" s="1"/>
  <c r="Q16" i="16" s="1"/>
  <c r="Q17" i="16" s="1"/>
  <c r="AD41" i="17"/>
  <c r="Q114" i="15" s="1"/>
  <c r="AD277" i="17"/>
  <c r="AB336" i="17"/>
  <c r="AB340" i="17" s="1"/>
  <c r="AB342" i="17" s="1"/>
  <c r="AB569" i="17" s="1"/>
  <c r="AB571" i="17" s="1"/>
  <c r="O65" i="15" s="1"/>
  <c r="O426" i="16" s="1"/>
  <c r="AC279" i="17"/>
  <c r="AC280" i="17"/>
  <c r="AC281" i="17"/>
  <c r="AD326" i="17"/>
  <c r="AD328" i="17" s="1"/>
  <c r="AD295" i="17"/>
  <c r="AC297" i="17"/>
  <c r="AC296" i="17"/>
  <c r="AC298" i="17"/>
  <c r="AE291" i="17"/>
  <c r="AE293" i="17"/>
  <c r="R102" i="15" s="1"/>
  <c r="AE292" i="17"/>
  <c r="AC287" i="17"/>
  <c r="AC286" i="17"/>
  <c r="AC288" i="17"/>
  <c r="P96" i="15" s="1"/>
  <c r="AB287" i="17"/>
  <c r="AB286" i="17"/>
  <c r="AB288" i="17"/>
  <c r="O96" i="15" s="1"/>
  <c r="AG335" i="17" a="1"/>
  <c r="AG335" i="17" s="1"/>
  <c r="AG190" i="17" a="1"/>
  <c r="AG190" i="17" s="1"/>
  <c r="AG183" i="17" a="1"/>
  <c r="AG183" i="17" s="1"/>
  <c r="AG331" i="17" a="1"/>
  <c r="AG331" i="17" s="1"/>
  <c r="AG193" i="17" a="1"/>
  <c r="AG193" i="17" s="1"/>
  <c r="AG189" i="17" a="1"/>
  <c r="AG189" i="17" s="1"/>
  <c r="AG182" i="17" a="1"/>
  <c r="AG182" i="17" s="1"/>
  <c r="AG33" i="17" a="1"/>
  <c r="AG33" i="17" s="1"/>
  <c r="AG29" i="17" a="1"/>
  <c r="AG29" i="17" s="1"/>
  <c r="AG22" i="17" a="1"/>
  <c r="AG22" i="17" s="1"/>
  <c r="AG18" i="17" a="1"/>
  <c r="AG18" i="17" s="1"/>
  <c r="AG14" i="17" a="1"/>
  <c r="AG14" i="17" s="1"/>
  <c r="AG327" i="17" a="1"/>
  <c r="AG327" i="17" s="1"/>
  <c r="AG28" i="17" a="1"/>
  <c r="AG28" i="17" s="1"/>
  <c r="AG17" i="17" a="1"/>
  <c r="AG17" i="17" s="1"/>
  <c r="AG181" i="17" a="1"/>
  <c r="AG181" i="17" s="1"/>
  <c r="AG184" i="17" a="1"/>
  <c r="AG184" i="17" s="1"/>
  <c r="AG19" i="17" a="1"/>
  <c r="AG19" i="17" s="1"/>
  <c r="AG31" i="17" a="1"/>
  <c r="AG31" i="17" s="1"/>
  <c r="AG20" i="17" a="1"/>
  <c r="AG20" i="17" s="1"/>
  <c r="AG15" i="17" a="1"/>
  <c r="AG15" i="17" s="1"/>
  <c r="AG32" i="17" a="1"/>
  <c r="AG32" i="17" s="1"/>
  <c r="AG21" i="17" a="1"/>
  <c r="AG21" i="17" s="1"/>
  <c r="AG192" i="17" a="1"/>
  <c r="AG192" i="17" s="1"/>
  <c r="AG23" i="17" a="1"/>
  <c r="AG23" i="17" s="1"/>
  <c r="AG10" i="17" a="1"/>
  <c r="AG10" i="17" s="1"/>
  <c r="AG325" i="17" s="1"/>
  <c r="AG191" i="17" a="1"/>
  <c r="AG191" i="17" s="1"/>
  <c r="AG37" i="17" a="1"/>
  <c r="AG37" i="17" s="1"/>
  <c r="AG27" i="17" a="1"/>
  <c r="AG27" i="17" s="1"/>
  <c r="AG16" i="17" a="1"/>
  <c r="AG16" i="17" s="1"/>
  <c r="AG30" i="17" a="1"/>
  <c r="AG30" i="17" s="1"/>
  <c r="AG34" i="17" a="1"/>
  <c r="AG34" i="17" s="1"/>
  <c r="AG185" i="17" a="1"/>
  <c r="AG185" i="17" s="1"/>
  <c r="AD323" i="17"/>
  <c r="AD251" i="17"/>
  <c r="AD203" i="17"/>
  <c r="AD305" i="17" s="1"/>
  <c r="AD200" i="17"/>
  <c r="AD302" i="17" s="1"/>
  <c r="AD202" i="17"/>
  <c r="AD304" i="17" s="1"/>
  <c r="AD199" i="17"/>
  <c r="AD201" i="17"/>
  <c r="AD303" i="17" s="1"/>
  <c r="AE38" i="17"/>
  <c r="R120" i="15" s="1"/>
  <c r="AE178" i="17"/>
  <c r="AD196" i="17"/>
  <c r="AF311" i="17"/>
  <c r="AF310" i="17"/>
  <c r="AF312" i="17"/>
  <c r="AF309" i="17"/>
  <c r="AF186" i="17"/>
  <c r="AF194" i="17"/>
  <c r="AF290" i="17" s="1"/>
  <c r="AE195" i="17"/>
  <c r="AF11" i="17"/>
  <c r="AH6" i="17"/>
  <c r="AE40" i="17"/>
  <c r="AF35" i="17"/>
  <c r="AF24" i="17"/>
  <c r="T191" i="15"/>
  <c r="T188" i="15" a="1"/>
  <c r="T188" i="15" s="1"/>
  <c r="T587" i="16" s="1"/>
  <c r="T192" i="15"/>
  <c r="U190" i="15"/>
  <c r="AD330" i="17" l="1"/>
  <c r="AD329" i="17"/>
  <c r="AC333" i="17"/>
  <c r="AC334" i="17"/>
  <c r="L182" i="16"/>
  <c r="L183" i="16"/>
  <c r="AA178" i="16"/>
  <c r="S279" i="16"/>
  <c r="S496" i="16" s="1"/>
  <c r="S582" i="16"/>
  <c r="S368" i="18" s="1"/>
  <c r="T62" i="15"/>
  <c r="T275" i="16" s="1"/>
  <c r="AG308" i="17"/>
  <c r="AE211" i="17"/>
  <c r="AE208" i="17"/>
  <c r="AE210" i="17"/>
  <c r="AE209" i="17"/>
  <c r="AE207" i="17"/>
  <c r="U199" i="15"/>
  <c r="U198" i="15"/>
  <c r="S197" i="15"/>
  <c r="R195" i="15" a="1"/>
  <c r="R195" i="15" s="1"/>
  <c r="R374" i="18" s="1"/>
  <c r="M573" i="16"/>
  <c r="M622" i="16"/>
  <c r="N449" i="16"/>
  <c r="N461" i="16" s="1"/>
  <c r="N313" i="16" s="1"/>
  <c r="N572" i="16"/>
  <c r="N573" i="16" s="1"/>
  <c r="U74" i="15"/>
  <c r="U458" i="16" s="1"/>
  <c r="T458" i="16"/>
  <c r="U71" i="15"/>
  <c r="U455" i="16" s="1"/>
  <c r="T455" i="16"/>
  <c r="U69" i="15"/>
  <c r="U453" i="16" s="1"/>
  <c r="T453" i="16"/>
  <c r="L465" i="16"/>
  <c r="L351" i="16" s="1"/>
  <c r="L463" i="16"/>
  <c r="L315" i="16" s="1"/>
  <c r="L462" i="16"/>
  <c r="L314" i="16" s="1"/>
  <c r="L466" i="16"/>
  <c r="L352" i="16" s="1"/>
  <c r="U73" i="15"/>
  <c r="U457" i="16" s="1"/>
  <c r="T457" i="16"/>
  <c r="U70" i="15"/>
  <c r="U454" i="16" s="1"/>
  <c r="T454" i="16"/>
  <c r="AC214" i="17"/>
  <c r="N177" i="16"/>
  <c r="M106" i="16"/>
  <c r="M178" i="16"/>
  <c r="M450" i="16" s="1"/>
  <c r="O24" i="16"/>
  <c r="O176" i="16"/>
  <c r="AD264" i="17"/>
  <c r="AD260" i="17"/>
  <c r="AD261" i="17" s="1"/>
  <c r="Q117" i="16"/>
  <c r="Q173" i="16" s="1"/>
  <c r="Q174" i="16" s="1"/>
  <c r="Q87" i="16"/>
  <c r="L97" i="15"/>
  <c r="L94" i="15" s="1" a="1"/>
  <c r="L94" i="15" s="1"/>
  <c r="L67" i="16" s="1"/>
  <c r="AA352" i="17"/>
  <c r="P21" i="16"/>
  <c r="P23" i="16" s="1"/>
  <c r="Z353" i="17"/>
  <c r="AH600" i="17" a="1"/>
  <c r="AH600" i="17" s="1"/>
  <c r="AH604" i="17" a="1"/>
  <c r="AH604" i="17" s="1"/>
  <c r="AH599" i="17" a="1"/>
  <c r="AH599" i="17" s="1"/>
  <c r="AH603" i="17" a="1"/>
  <c r="AH603" i="17" s="1"/>
  <c r="AH601" i="17" a="1"/>
  <c r="AH601" i="17" s="1"/>
  <c r="AB344" i="17"/>
  <c r="AB343" i="17"/>
  <c r="AB541" i="17" s="1"/>
  <c r="AB570" i="17" s="1"/>
  <c r="AH424" i="17" a="1"/>
  <c r="AH424" i="17" s="1"/>
  <c r="AH423" i="17" a="1"/>
  <c r="AH423" i="17" s="1"/>
  <c r="AH568" i="17" a="1"/>
  <c r="AH568" i="17" s="1"/>
  <c r="AH421" i="17" a="1"/>
  <c r="AH421" i="17" s="1"/>
  <c r="AH422" i="17" a="1"/>
  <c r="AH422" i="17" s="1"/>
  <c r="R121" i="15"/>
  <c r="R118" i="15" s="1" a="1"/>
  <c r="R118" i="15" s="1"/>
  <c r="R16" i="16" s="1"/>
  <c r="R17" i="16" s="1"/>
  <c r="R122" i="15"/>
  <c r="Q116" i="15"/>
  <c r="Q115" i="15"/>
  <c r="Q112" i="15" s="1" a="1"/>
  <c r="Q112" i="15" s="1"/>
  <c r="Q12" i="16" s="1"/>
  <c r="Q13" i="16" s="1"/>
  <c r="AE41" i="17"/>
  <c r="R114" i="15" s="1"/>
  <c r="AE277" i="17"/>
  <c r="AD279" i="17"/>
  <c r="AD280" i="17"/>
  <c r="AD281" i="17"/>
  <c r="AD332" i="17"/>
  <c r="AE326" i="17"/>
  <c r="AE328" i="17" s="1"/>
  <c r="AE295" i="17"/>
  <c r="AD297" i="17"/>
  <c r="AD296" i="17"/>
  <c r="AD298" i="17"/>
  <c r="AF293" i="17"/>
  <c r="S102" i="15" s="1"/>
  <c r="AF291" i="17"/>
  <c r="AF292" i="17"/>
  <c r="AH335" i="17" a="1"/>
  <c r="AH335" i="17" s="1"/>
  <c r="AH190" i="17" a="1"/>
  <c r="AH190" i="17" s="1"/>
  <c r="AH183" i="17" a="1"/>
  <c r="AH183" i="17" s="1"/>
  <c r="AH331" i="17" a="1"/>
  <c r="AH331" i="17" s="1"/>
  <c r="AH193" i="17" a="1"/>
  <c r="AH193" i="17" s="1"/>
  <c r="AH189" i="17" a="1"/>
  <c r="AH189" i="17" s="1"/>
  <c r="AH182" i="17" a="1"/>
  <c r="AH182" i="17" s="1"/>
  <c r="AH33" i="17" a="1"/>
  <c r="AH33" i="17" s="1"/>
  <c r="AH29" i="17" a="1"/>
  <c r="AH29" i="17" s="1"/>
  <c r="AH22" i="17" a="1"/>
  <c r="AH22" i="17" s="1"/>
  <c r="AH18" i="17" a="1"/>
  <c r="AH18" i="17" s="1"/>
  <c r="AH14" i="17" a="1"/>
  <c r="AH14" i="17" s="1"/>
  <c r="AH327" i="17" a="1"/>
  <c r="AH327" i="17" s="1"/>
  <c r="AH192" i="17" a="1"/>
  <c r="AH192" i="17" s="1"/>
  <c r="AH185" i="17" a="1"/>
  <c r="AH185" i="17" s="1"/>
  <c r="AH181" i="17" a="1"/>
  <c r="AH181" i="17" s="1"/>
  <c r="AH32" i="17" a="1"/>
  <c r="AH32" i="17" s="1"/>
  <c r="AH28" i="17" a="1"/>
  <c r="AH28" i="17" s="1"/>
  <c r="AH21" i="17" a="1"/>
  <c r="AH21" i="17" s="1"/>
  <c r="AH17" i="17" a="1"/>
  <c r="AH17" i="17" s="1"/>
  <c r="AH10" i="17" a="1"/>
  <c r="AH10" i="17" s="1"/>
  <c r="AH325" i="17" s="1"/>
  <c r="AH191" i="17" a="1"/>
  <c r="AH191" i="17" s="1"/>
  <c r="AH184" i="17" a="1"/>
  <c r="AH184" i="17" s="1"/>
  <c r="AH37" i="17" a="1"/>
  <c r="AH37" i="17" s="1"/>
  <c r="K41" i="15" s="1"/>
  <c r="AH31" i="17" a="1"/>
  <c r="AH31" i="17" s="1"/>
  <c r="AH27" i="17" a="1"/>
  <c r="AH27" i="17" s="1"/>
  <c r="AH20" i="17" a="1"/>
  <c r="AH20" i="17" s="1"/>
  <c r="AH16" i="17" a="1"/>
  <c r="AH16" i="17" s="1"/>
  <c r="AH19" i="17" a="1"/>
  <c r="AH19" i="17" s="1"/>
  <c r="AH30" i="17" a="1"/>
  <c r="AH30" i="17" s="1"/>
  <c r="AH34" i="17" a="1"/>
  <c r="AH34" i="17" s="1"/>
  <c r="AH23" i="17" a="1"/>
  <c r="AH23" i="17" s="1"/>
  <c r="AH15" i="17" a="1"/>
  <c r="AH15" i="17" s="1"/>
  <c r="AC340" i="17"/>
  <c r="AC342" i="17" s="1"/>
  <c r="AC569" i="17" s="1"/>
  <c r="AC571" i="17" s="1"/>
  <c r="P65" i="15" s="1"/>
  <c r="P426" i="16" s="1"/>
  <c r="AD212" i="17"/>
  <c r="AE323" i="17"/>
  <c r="AE251" i="17"/>
  <c r="AE202" i="17"/>
  <c r="AE304" i="17" s="1"/>
  <c r="AE203" i="17"/>
  <c r="AE305" i="17" s="1"/>
  <c r="AE200" i="17"/>
  <c r="AE302" i="17" s="1"/>
  <c r="AE199" i="17"/>
  <c r="AE201" i="17"/>
  <c r="AE303" i="17" s="1"/>
  <c r="AF38" i="17"/>
  <c r="S120" i="15" s="1"/>
  <c r="AF178" i="17"/>
  <c r="AD204" i="17"/>
  <c r="AD285" i="17" s="1"/>
  <c r="AD301" i="17"/>
  <c r="AE196" i="17"/>
  <c r="AG312" i="17"/>
  <c r="AG311" i="17"/>
  <c r="AG310" i="17"/>
  <c r="AG309" i="17"/>
  <c r="AF195" i="17"/>
  <c r="AG194" i="17"/>
  <c r="AG290" i="17" s="1"/>
  <c r="AG186" i="17"/>
  <c r="AF40" i="17"/>
  <c r="AG35" i="17"/>
  <c r="AG11" i="17"/>
  <c r="AG24" i="17"/>
  <c r="U188" i="15" a="1"/>
  <c r="U188" i="15" s="1"/>
  <c r="U587" i="16" s="1"/>
  <c r="U192" i="15"/>
  <c r="U191" i="15"/>
  <c r="AE330" i="17" l="1"/>
  <c r="AE329" i="17"/>
  <c r="AD336" i="17"/>
  <c r="AD333" i="17"/>
  <c r="AD334" i="17"/>
  <c r="T279" i="16"/>
  <c r="T496" i="16" s="1"/>
  <c r="T582" i="16"/>
  <c r="T368" i="18" s="1"/>
  <c r="AH308" i="17"/>
  <c r="U62" i="15"/>
  <c r="U275" i="16" s="1"/>
  <c r="AF210" i="17"/>
  <c r="AF207" i="17"/>
  <c r="AF211" i="17"/>
  <c r="AF208" i="17"/>
  <c r="AF209" i="17"/>
  <c r="S195" i="15" a="1"/>
  <c r="S195" i="15" s="1"/>
  <c r="S374" i="18" s="1"/>
  <c r="T197" i="15"/>
  <c r="O449" i="16"/>
  <c r="O461" i="16" s="1"/>
  <c r="O313" i="16" s="1"/>
  <c r="O572" i="16"/>
  <c r="O573" i="16" s="1"/>
  <c r="M462" i="16"/>
  <c r="M314" i="16" s="1"/>
  <c r="M465" i="16"/>
  <c r="M351" i="16" s="1"/>
  <c r="M463" i="16"/>
  <c r="M315" i="16" s="1"/>
  <c r="M466" i="16"/>
  <c r="M352" i="16" s="1"/>
  <c r="F399" i="16" a="1"/>
  <c r="M179" i="16"/>
  <c r="O177" i="16"/>
  <c r="P24" i="16"/>
  <c r="P176" i="16"/>
  <c r="AE264" i="17"/>
  <c r="AE260" i="17"/>
  <c r="AE261" i="17" s="1"/>
  <c r="AD213" i="17"/>
  <c r="AD214" i="17" s="1"/>
  <c r="R117" i="16"/>
  <c r="R173" i="16" s="1"/>
  <c r="R174" i="16" s="1"/>
  <c r="R87" i="16"/>
  <c r="L108" i="15"/>
  <c r="M108" i="15" s="1"/>
  <c r="N40" i="16"/>
  <c r="Q21" i="16"/>
  <c r="Q23" i="16" s="1"/>
  <c r="AB345" i="17"/>
  <c r="R116" i="15"/>
  <c r="R115" i="15"/>
  <c r="R112" i="15" s="1" a="1"/>
  <c r="R112" i="15" s="1"/>
  <c r="R12" i="16" s="1"/>
  <c r="R13" i="16" s="1"/>
  <c r="AB347" i="17"/>
  <c r="AB350" i="17" s="1"/>
  <c r="AB351" i="17" s="1"/>
  <c r="AB352" i="17" s="1"/>
  <c r="S121" i="15"/>
  <c r="S118" i="15" s="1" a="1"/>
  <c r="S118" i="15" s="1"/>
  <c r="S16" i="16" s="1"/>
  <c r="S17" i="16" s="1"/>
  <c r="S122" i="15"/>
  <c r="AC344" i="17"/>
  <c r="AC343" i="17"/>
  <c r="AC541" i="17" s="1"/>
  <c r="AC570" i="17" s="1"/>
  <c r="AF41" i="17"/>
  <c r="S114" i="15" s="1"/>
  <c r="AF277" i="17"/>
  <c r="AE332" i="17"/>
  <c r="AE280" i="17"/>
  <c r="AE281" i="17"/>
  <c r="AE279" i="17"/>
  <c r="AE296" i="17"/>
  <c r="AE298" i="17"/>
  <c r="AE297" i="17"/>
  <c r="AF326" i="17"/>
  <c r="AF328" i="17" s="1"/>
  <c r="AF295" i="17"/>
  <c r="AG293" i="17"/>
  <c r="T102" i="15" s="1"/>
  <c r="AG292" i="17"/>
  <c r="AG291" i="17"/>
  <c r="AD287" i="17"/>
  <c r="AD286" i="17"/>
  <c r="AD288" i="17"/>
  <c r="Q96" i="15" s="1"/>
  <c r="AD340" i="17"/>
  <c r="AD342" i="17" s="1"/>
  <c r="AD569" i="17" s="1"/>
  <c r="AD571" i="17" s="1"/>
  <c r="Q65" i="15" s="1"/>
  <c r="Q426" i="16" s="1"/>
  <c r="AE212" i="17"/>
  <c r="AG38" i="17"/>
  <c r="T120" i="15" s="1"/>
  <c r="AG178" i="17"/>
  <c r="AF323" i="17"/>
  <c r="AF251" i="17"/>
  <c r="AF201" i="17"/>
  <c r="AF303" i="17" s="1"/>
  <c r="AF200" i="17"/>
  <c r="AF302" i="17" s="1"/>
  <c r="AF202" i="17"/>
  <c r="AF304" i="17" s="1"/>
  <c r="AF203" i="17"/>
  <c r="AF305" i="17" s="1"/>
  <c r="AF199" i="17"/>
  <c r="AE204" i="17"/>
  <c r="AE285" i="17" s="1"/>
  <c r="AE301" i="17"/>
  <c r="AF196" i="17"/>
  <c r="AH312" i="17"/>
  <c r="AH310" i="17"/>
  <c r="AH309" i="17"/>
  <c r="AH311" i="17"/>
  <c r="AG195" i="17"/>
  <c r="AH194" i="17"/>
  <c r="AH290" i="17" s="1"/>
  <c r="AH186" i="17"/>
  <c r="AG40" i="17"/>
  <c r="AH35" i="17"/>
  <c r="AH178" i="17"/>
  <c r="AH211" i="17" s="1"/>
  <c r="AH11" i="17"/>
  <c r="AH24" i="17"/>
  <c r="AE336" i="17" l="1"/>
  <c r="AE340" i="17" s="1"/>
  <c r="AE342" i="17" s="1"/>
  <c r="AE569" i="17" s="1"/>
  <c r="AE571" i="17" s="1"/>
  <c r="R65" i="15" s="1"/>
  <c r="R426" i="16" s="1"/>
  <c r="AE334" i="17"/>
  <c r="AE333" i="17"/>
  <c r="AF329" i="17"/>
  <c r="AF330" i="17"/>
  <c r="U582" i="16"/>
  <c r="U368" i="18" s="1"/>
  <c r="U279" i="16"/>
  <c r="U496" i="16" s="1"/>
  <c r="AH207" i="17"/>
  <c r="AG211" i="17"/>
  <c r="AG210" i="17"/>
  <c r="AG209" i="17"/>
  <c r="AG207" i="17"/>
  <c r="AG208" i="17"/>
  <c r="AH210" i="17"/>
  <c r="AH209" i="17"/>
  <c r="AH208" i="17"/>
  <c r="T195" i="15" a="1"/>
  <c r="T195" i="15" s="1"/>
  <c r="T374" i="18" s="1"/>
  <c r="U197" i="15"/>
  <c r="U195" i="15" s="1" a="1"/>
  <c r="U195" i="15" s="1"/>
  <c r="U374" i="18" s="1"/>
  <c r="P449" i="16"/>
  <c r="P461" i="16" s="1"/>
  <c r="P313" i="16" s="1"/>
  <c r="P572" i="16"/>
  <c r="P573" i="16" s="1"/>
  <c r="F399" i="16"/>
  <c r="S406" i="16"/>
  <c r="T406" i="16" s="1"/>
  <c r="U406" i="16" s="1"/>
  <c r="Q404" i="16"/>
  <c r="M400" i="16"/>
  <c r="N400" i="16" s="1"/>
  <c r="O400" i="16" s="1"/>
  <c r="P403" i="16"/>
  <c r="Q403" i="16" s="1"/>
  <c r="R405" i="16"/>
  <c r="S405" i="16" s="1"/>
  <c r="O402" i="16"/>
  <c r="U408" i="16"/>
  <c r="T407" i="16"/>
  <c r="U407" i="16" s="1"/>
  <c r="N401" i="16"/>
  <c r="P177" i="16"/>
  <c r="Q24" i="16"/>
  <c r="Q176" i="16"/>
  <c r="AE213" i="17"/>
  <c r="AE214" i="17" s="1"/>
  <c r="AF264" i="17"/>
  <c r="AF260" i="17"/>
  <c r="AF261" i="17" s="1"/>
  <c r="S117" i="16"/>
  <c r="S173" i="16" s="1"/>
  <c r="S174" i="16" s="1"/>
  <c r="S87" i="16"/>
  <c r="L109" i="15"/>
  <c r="L106" i="15" s="1" a="1"/>
  <c r="L106" i="15" s="1"/>
  <c r="L15" i="16" s="1"/>
  <c r="L18" i="16" s="1"/>
  <c r="L110" i="15"/>
  <c r="O40" i="16"/>
  <c r="N43" i="16"/>
  <c r="R21" i="16"/>
  <c r="R23" i="16" s="1"/>
  <c r="AB353" i="17"/>
  <c r="AC347" i="17"/>
  <c r="AC350" i="17" s="1"/>
  <c r="AC351" i="17" s="1"/>
  <c r="AC353" i="17" s="1"/>
  <c r="AC345" i="17"/>
  <c r="S116" i="15"/>
  <c r="S115" i="15"/>
  <c r="S112" i="15" s="1" a="1"/>
  <c r="S112" i="15" s="1"/>
  <c r="S12" i="16" s="1"/>
  <c r="S13" i="16" s="1"/>
  <c r="AE344" i="17"/>
  <c r="AE343" i="17"/>
  <c r="AE541" i="17" s="1"/>
  <c r="AE570" i="17" s="1"/>
  <c r="N108" i="15"/>
  <c r="M110" i="15"/>
  <c r="M109" i="15"/>
  <c r="M106" i="15" a="1"/>
  <c r="M106" i="15" s="1"/>
  <c r="M15" i="16" s="1"/>
  <c r="M18" i="16" s="1"/>
  <c r="T121" i="15"/>
  <c r="T118" i="15" s="1" a="1"/>
  <c r="T118" i="15" s="1"/>
  <c r="T16" i="16" s="1"/>
  <c r="T17" i="16" s="1"/>
  <c r="T122" i="15"/>
  <c r="AD344" i="17"/>
  <c r="AD343" i="17"/>
  <c r="AD541" i="17" s="1"/>
  <c r="AD570" i="17" s="1"/>
  <c r="AG41" i="17"/>
  <c r="T114" i="15" s="1"/>
  <c r="AG277" i="17"/>
  <c r="AF281" i="17"/>
  <c r="AF279" i="17"/>
  <c r="AF280" i="17"/>
  <c r="AF332" i="17"/>
  <c r="AF298" i="17"/>
  <c r="AF297" i="17"/>
  <c r="AF296" i="17"/>
  <c r="AG326" i="17"/>
  <c r="AG328" i="17" s="1"/>
  <c r="AG295" i="17"/>
  <c r="AH293" i="17"/>
  <c r="U102" i="15" s="1"/>
  <c r="AH292" i="17"/>
  <c r="AH291" i="17"/>
  <c r="AE286" i="17"/>
  <c r="AE288" i="17"/>
  <c r="R96" i="15" s="1"/>
  <c r="AE287" i="17"/>
  <c r="AH201" i="17"/>
  <c r="AH303" i="17" s="1"/>
  <c r="AH203" i="17"/>
  <c r="AH305" i="17" s="1"/>
  <c r="AF204" i="17"/>
  <c r="AF285" i="17" s="1"/>
  <c r="AF301" i="17"/>
  <c r="AH323" i="17"/>
  <c r="AH251" i="17"/>
  <c r="AH202" i="17"/>
  <c r="AH304" i="17" s="1"/>
  <c r="AF212" i="17"/>
  <c r="AH199" i="17"/>
  <c r="AH301" i="17" s="1"/>
  <c r="AG323" i="17"/>
  <c r="AG251" i="17"/>
  <c r="AG200" i="17"/>
  <c r="AG302" i="17" s="1"/>
  <c r="AG201" i="17"/>
  <c r="AG303" i="17" s="1"/>
  <c r="AG202" i="17"/>
  <c r="AG304" i="17" s="1"/>
  <c r="AG203" i="17"/>
  <c r="AG305" i="17" s="1"/>
  <c r="AG199" i="17"/>
  <c r="AH200" i="17"/>
  <c r="AH302" i="17" s="1"/>
  <c r="AG196" i="17"/>
  <c r="AH195" i="17"/>
  <c r="AH40" i="17"/>
  <c r="AH38" i="17"/>
  <c r="U120" i="15" s="1"/>
  <c r="AF334" i="17" l="1"/>
  <c r="AF333" i="17"/>
  <c r="AG330" i="17"/>
  <c r="AG329" i="17"/>
  <c r="Q449" i="16"/>
  <c r="Q461" i="16" s="1"/>
  <c r="Q313" i="16" s="1"/>
  <c r="Q572" i="16"/>
  <c r="Q573" i="16" s="1"/>
  <c r="T405" i="16"/>
  <c r="U405" i="16" s="1"/>
  <c r="O401" i="16"/>
  <c r="P401" i="16" s="1"/>
  <c r="P402" i="16"/>
  <c r="P400" i="16"/>
  <c r="Q400" i="16" s="1"/>
  <c r="R400" i="16" s="1"/>
  <c r="R404" i="16"/>
  <c r="R403" i="16"/>
  <c r="L399" i="16"/>
  <c r="L410" i="16" s="1"/>
  <c r="L581" i="16" s="1"/>
  <c r="L367" i="18" s="1"/>
  <c r="Q177" i="16"/>
  <c r="R24" i="16"/>
  <c r="R176" i="16"/>
  <c r="AH264" i="17"/>
  <c r="AH260" i="17"/>
  <c r="AH261" i="17" s="1"/>
  <c r="AG264" i="17"/>
  <c r="AG260" i="17"/>
  <c r="AG261" i="17" s="1"/>
  <c r="AF213" i="17"/>
  <c r="AF214" i="17" s="1"/>
  <c r="T117" i="16"/>
  <c r="T173" i="16" s="1"/>
  <c r="T174" i="16" s="1"/>
  <c r="T87" i="16"/>
  <c r="N103" i="15"/>
  <c r="N100" i="15" s="1" a="1"/>
  <c r="N100" i="15" s="1"/>
  <c r="N75" i="16" s="1"/>
  <c r="N103" i="16" s="1"/>
  <c r="N133" i="16" s="1"/>
  <c r="N104" i="15"/>
  <c r="P40" i="16"/>
  <c r="O43" i="16"/>
  <c r="S21" i="16"/>
  <c r="S23" i="16" s="1"/>
  <c r="AD345" i="17"/>
  <c r="AC352" i="17"/>
  <c r="AE347" i="17"/>
  <c r="AE350" i="17" s="1"/>
  <c r="AE351" i="17" s="1"/>
  <c r="AE353" i="17" s="1"/>
  <c r="AE345" i="17"/>
  <c r="AD347" i="17"/>
  <c r="AD350" i="17" s="1"/>
  <c r="AD351" i="17" s="1"/>
  <c r="AD352" i="17" s="1"/>
  <c r="T115" i="15"/>
  <c r="T112" i="15" s="1" a="1"/>
  <c r="T112" i="15" s="1"/>
  <c r="T12" i="16" s="1"/>
  <c r="T13" i="16" s="1"/>
  <c r="T116" i="15"/>
  <c r="O108" i="15"/>
  <c r="N110" i="15"/>
  <c r="N109" i="15"/>
  <c r="N106" i="15" s="1" a="1"/>
  <c r="N106" i="15" s="1"/>
  <c r="N15" i="16" s="1"/>
  <c r="N18" i="16" s="1"/>
  <c r="U122" i="15"/>
  <c r="U121" i="15"/>
  <c r="U118" i="15" s="1" a="1"/>
  <c r="U118" i="15" s="1"/>
  <c r="U16" i="16" s="1"/>
  <c r="U17" i="16" s="1"/>
  <c r="AG280" i="17"/>
  <c r="AG279" i="17"/>
  <c r="AG281" i="17"/>
  <c r="AH41" i="17"/>
  <c r="U114" i="15" s="1"/>
  <c r="AH277" i="17"/>
  <c r="AG332" i="17"/>
  <c r="AF336" i="17"/>
  <c r="AF340" i="17" s="1"/>
  <c r="AF342" i="17" s="1"/>
  <c r="AF569" i="17" s="1"/>
  <c r="AF571" i="17" s="1"/>
  <c r="S65" i="15" s="1"/>
  <c r="S426" i="16" s="1"/>
  <c r="AG298" i="17"/>
  <c r="AG296" i="17"/>
  <c r="AG297" i="17"/>
  <c r="AH326" i="17"/>
  <c r="AH328" i="17" s="1"/>
  <c r="AH295" i="17"/>
  <c r="AF288" i="17"/>
  <c r="S96" i="15" s="1"/>
  <c r="AF286" i="17"/>
  <c r="AF287" i="17"/>
  <c r="AG212" i="17"/>
  <c r="AH212" i="17"/>
  <c r="AH204" i="17"/>
  <c r="AH285" i="17" s="1"/>
  <c r="AG204" i="17"/>
  <c r="AG285" i="17" s="1"/>
  <c r="AG301" i="17"/>
  <c r="AH196" i="17"/>
  <c r="AG336" i="17" l="1"/>
  <c r="AG334" i="17"/>
  <c r="AG333" i="17"/>
  <c r="AH332" i="17"/>
  <c r="AH336" i="17" s="1"/>
  <c r="AH330" i="17"/>
  <c r="AH329" i="17"/>
  <c r="R449" i="16"/>
  <c r="R461" i="16" s="1"/>
  <c r="R313" i="16" s="1"/>
  <c r="R572" i="16"/>
  <c r="R573" i="16" s="1"/>
  <c r="M399" i="16"/>
  <c r="M410" i="16" s="1"/>
  <c r="M581" i="16" s="1"/>
  <c r="M367" i="18" s="1"/>
  <c r="Q402" i="16"/>
  <c r="Q401" i="16"/>
  <c r="S404" i="16"/>
  <c r="T404" i="16" s="1"/>
  <c r="S403" i="16"/>
  <c r="T403" i="16" s="1"/>
  <c r="U403" i="16" s="1"/>
  <c r="S400" i="16"/>
  <c r="T400" i="16" s="1"/>
  <c r="U400" i="16" s="1"/>
  <c r="L184" i="16"/>
  <c r="R177" i="16"/>
  <c r="S24" i="16"/>
  <c r="S176" i="16"/>
  <c r="AH213" i="17"/>
  <c r="AG213" i="17"/>
  <c r="AG214" i="17" s="1"/>
  <c r="U117" i="16"/>
  <c r="U173" i="16" s="1"/>
  <c r="U174" i="16" s="1"/>
  <c r="U87" i="16"/>
  <c r="O103" i="15"/>
  <c r="O104" i="15"/>
  <c r="O100" i="15" a="1"/>
  <c r="O100" i="15" s="1"/>
  <c r="O75" i="16" s="1"/>
  <c r="O103" i="16" s="1"/>
  <c r="O133" i="16" s="1"/>
  <c r="Q40" i="16"/>
  <c r="P43" i="16"/>
  <c r="AE352" i="17"/>
  <c r="T21" i="16"/>
  <c r="T23" i="16" s="1"/>
  <c r="AD353" i="17"/>
  <c r="AF344" i="17"/>
  <c r="AF343" i="17"/>
  <c r="AF541" i="17" s="1"/>
  <c r="AF570" i="17" s="1"/>
  <c r="P108" i="15"/>
  <c r="O110" i="15"/>
  <c r="O109" i="15"/>
  <c r="O106" i="15" s="1" a="1"/>
  <c r="O106" i="15" s="1"/>
  <c r="O15" i="16" s="1"/>
  <c r="O18" i="16" s="1"/>
  <c r="U116" i="15"/>
  <c r="U115" i="15"/>
  <c r="U112" i="15" s="1" a="1"/>
  <c r="U112" i="15" s="1"/>
  <c r="U12" i="16" s="1"/>
  <c r="U13" i="16" s="1"/>
  <c r="U21" i="16" s="1"/>
  <c r="U23" i="16" s="1"/>
  <c r="U176" i="16" s="1"/>
  <c r="AH280" i="17"/>
  <c r="AH281" i="17"/>
  <c r="AH279" i="17"/>
  <c r="AH298" i="17"/>
  <c r="AH297" i="17"/>
  <c r="AH296" i="17"/>
  <c r="AG288" i="17"/>
  <c r="T96" i="15" s="1"/>
  <c r="AG287" i="17"/>
  <c r="AG286" i="17"/>
  <c r="AH288" i="17"/>
  <c r="U96" i="15" s="1"/>
  <c r="AH287" i="17"/>
  <c r="AH286" i="17"/>
  <c r="AG340" i="17" l="1"/>
  <c r="AG342" i="17" s="1"/>
  <c r="AG344" i="17"/>
  <c r="AG345" i="17" s="1"/>
  <c r="AH333" i="17"/>
  <c r="AH334" i="17"/>
  <c r="K18" i="15"/>
  <c r="U591" i="16" s="1"/>
  <c r="AC10" i="15"/>
  <c r="N399" i="16"/>
  <c r="O399" i="16" s="1"/>
  <c r="O410" i="16" s="1"/>
  <c r="O184" i="16" s="1"/>
  <c r="O264" i="16" s="1"/>
  <c r="M184" i="16"/>
  <c r="M264" i="16" s="1"/>
  <c r="U449" i="16"/>
  <c r="U461" i="16" s="1"/>
  <c r="U313" i="16" s="1"/>
  <c r="U572" i="16"/>
  <c r="S449" i="16"/>
  <c r="S461" i="16" s="1"/>
  <c r="S313" i="16" s="1"/>
  <c r="S572" i="16"/>
  <c r="S573" i="16" s="1"/>
  <c r="L185" i="16"/>
  <c r="L264" i="16"/>
  <c r="L321" i="16" s="1"/>
  <c r="O228" i="16"/>
  <c r="N228" i="16"/>
  <c r="N229" i="16" s="1"/>
  <c r="N231" i="16" s="1"/>
  <c r="U404" i="16"/>
  <c r="R402" i="16"/>
  <c r="R401" i="16"/>
  <c r="S177" i="16"/>
  <c r="T24" i="16"/>
  <c r="T176" i="16"/>
  <c r="AH214" i="17"/>
  <c r="U24" i="16"/>
  <c r="N98" i="15"/>
  <c r="N97" i="15"/>
  <c r="N94" i="15" s="1" a="1"/>
  <c r="N94" i="15" s="1"/>
  <c r="N67" i="16" s="1"/>
  <c r="P104" i="15"/>
  <c r="P103" i="15"/>
  <c r="P100" i="15" s="1" a="1"/>
  <c r="P100" i="15" s="1"/>
  <c r="P75" i="16" s="1"/>
  <c r="P103" i="16" s="1"/>
  <c r="P133" i="16" s="1"/>
  <c r="R40" i="16"/>
  <c r="Q43" i="16"/>
  <c r="AG347" i="17"/>
  <c r="AG350" i="17" s="1"/>
  <c r="AG351" i="17" s="1"/>
  <c r="AG352" i="17" s="1"/>
  <c r="AF345" i="17"/>
  <c r="Q108" i="15"/>
  <c r="P109" i="15"/>
  <c r="P106" i="15" s="1" a="1"/>
  <c r="P106" i="15" s="1"/>
  <c r="P15" i="16" s="1"/>
  <c r="P18" i="16" s="1"/>
  <c r="P110" i="15"/>
  <c r="AF347" i="17"/>
  <c r="AF350" i="17" s="1"/>
  <c r="AF351" i="17" s="1"/>
  <c r="AF353" i="17" s="1"/>
  <c r="AH340" i="17"/>
  <c r="AH342" i="17" s="1"/>
  <c r="AH569" i="17" s="1"/>
  <c r="AH571" i="17" s="1"/>
  <c r="U65" i="15" s="1"/>
  <c r="U426" i="16" s="1"/>
  <c r="AG343" i="17" l="1"/>
  <c r="AG541" i="17" s="1"/>
  <c r="AG570" i="17" s="1"/>
  <c r="AG569" i="17"/>
  <c r="AG571" i="17" s="1"/>
  <c r="T65" i="15" s="1"/>
  <c r="T426" i="16" s="1"/>
  <c r="L186" i="16"/>
  <c r="L575" i="16" s="1"/>
  <c r="L187" i="16"/>
  <c r="AD176" i="16" s="1"/>
  <c r="N233" i="16"/>
  <c r="N230" i="16"/>
  <c r="L574" i="16"/>
  <c r="L623" i="16" s="1"/>
  <c r="Q228" i="16"/>
  <c r="P228" i="16"/>
  <c r="O581" i="16"/>
  <c r="O367" i="18" s="1"/>
  <c r="P399" i="16"/>
  <c r="Q399" i="16" s="1"/>
  <c r="Q410" i="16" s="1"/>
  <c r="N410" i="16"/>
  <c r="N581" i="16" s="1"/>
  <c r="N367" i="18" s="1"/>
  <c r="R228" i="16"/>
  <c r="AB176" i="16"/>
  <c r="L189" i="16"/>
  <c r="L424" i="16" s="1"/>
  <c r="L624" i="16"/>
  <c r="U590" i="16"/>
  <c r="U592" i="16" s="1"/>
  <c r="U594" i="16" s="1"/>
  <c r="U595" i="16" s="1"/>
  <c r="T449" i="16"/>
  <c r="T461" i="16" s="1"/>
  <c r="T313" i="16" s="1"/>
  <c r="T572" i="16"/>
  <c r="T573" i="16" s="1"/>
  <c r="M321" i="16"/>
  <c r="L332" i="16"/>
  <c r="S401" i="16"/>
  <c r="T401" i="16" s="1"/>
  <c r="U401" i="16" s="1"/>
  <c r="S402" i="16"/>
  <c r="T402" i="16" s="1"/>
  <c r="U402" i="16" s="1"/>
  <c r="T177" i="16"/>
  <c r="U177" i="16"/>
  <c r="N125" i="16"/>
  <c r="N95" i="16" s="1"/>
  <c r="Q104" i="15"/>
  <c r="Q103" i="15"/>
  <c r="Q100" i="15" s="1" a="1"/>
  <c r="Q100" i="15" s="1"/>
  <c r="Q75" i="16" s="1"/>
  <c r="Q103" i="16" s="1"/>
  <c r="Q133" i="16" s="1"/>
  <c r="O98" i="15"/>
  <c r="O97" i="15"/>
  <c r="O94" i="15" s="1" a="1"/>
  <c r="O94" i="15" s="1"/>
  <c r="O67" i="16" s="1"/>
  <c r="S40" i="16"/>
  <c r="R43" i="16"/>
  <c r="AG353" i="17"/>
  <c r="AF352" i="17"/>
  <c r="AH344" i="17"/>
  <c r="AH343" i="17"/>
  <c r="AH541" i="17" s="1"/>
  <c r="AH570" i="17" s="1"/>
  <c r="R108" i="15"/>
  <c r="Q110" i="15"/>
  <c r="Q109" i="15"/>
  <c r="Q106" i="15" s="1" a="1"/>
  <c r="Q106" i="15" s="1"/>
  <c r="Q15" i="16" s="1"/>
  <c r="Q18" i="16" s="1"/>
  <c r="L580" i="16" l="1"/>
  <c r="P410" i="16"/>
  <c r="P184" i="16" s="1"/>
  <c r="P264" i="16" s="1"/>
  <c r="N184" i="16"/>
  <c r="Q184" i="16"/>
  <c r="Q264" i="16" s="1"/>
  <c r="Q581" i="16"/>
  <c r="Q367" i="18" s="1"/>
  <c r="N593" i="16"/>
  <c r="L593" i="16"/>
  <c r="M593" i="16"/>
  <c r="U573" i="16"/>
  <c r="M332" i="16"/>
  <c r="U228" i="16"/>
  <c r="R399" i="16"/>
  <c r="R410" i="16" s="1"/>
  <c r="L429" i="16"/>
  <c r="L427" i="16"/>
  <c r="L432" i="16" s="1"/>
  <c r="O125" i="16"/>
  <c r="O95" i="16" s="1"/>
  <c r="N135" i="16"/>
  <c r="N136" i="16" s="1"/>
  <c r="N105" i="16"/>
  <c r="R104" i="15"/>
  <c r="R103" i="15"/>
  <c r="R100" i="15" s="1" a="1"/>
  <c r="R100" i="15" s="1"/>
  <c r="R75" i="16" s="1"/>
  <c r="R103" i="16" s="1"/>
  <c r="R133" i="16" s="1"/>
  <c r="P97" i="15"/>
  <c r="P94" i="15" s="1" a="1"/>
  <c r="P94" i="15" s="1"/>
  <c r="P67" i="16" s="1"/>
  <c r="P98" i="15"/>
  <c r="T40" i="16"/>
  <c r="S43" i="16"/>
  <c r="AH347" i="17"/>
  <c r="AH350" i="17" s="1"/>
  <c r="AH351" i="17" s="1"/>
  <c r="AH353" i="17" s="1"/>
  <c r="AH345" i="17"/>
  <c r="S108" i="15"/>
  <c r="R109" i="15"/>
  <c r="R106" i="15" s="1" a="1"/>
  <c r="R106" i="15" s="1"/>
  <c r="R15" i="16" s="1"/>
  <c r="R18" i="16" s="1"/>
  <c r="R110" i="15"/>
  <c r="T228" i="16" l="1"/>
  <c r="S228" i="16"/>
  <c r="P581" i="16"/>
  <c r="P367" i="18" s="1"/>
  <c r="N264" i="16"/>
  <c r="N321" i="16" s="1"/>
  <c r="N332" i="16" s="1"/>
  <c r="R184" i="16"/>
  <c r="R264" i="16" s="1"/>
  <c r="R581" i="16"/>
  <c r="R367" i="18" s="1"/>
  <c r="S399" i="16"/>
  <c r="S410" i="16" s="1"/>
  <c r="L193" i="16"/>
  <c r="N237" i="16"/>
  <c r="L433" i="16"/>
  <c r="N106" i="16"/>
  <c r="N178" i="16"/>
  <c r="N450" i="16" s="1"/>
  <c r="O105" i="16"/>
  <c r="P125" i="16"/>
  <c r="P95" i="16" s="1"/>
  <c r="O135" i="16"/>
  <c r="O136" i="16" s="1"/>
  <c r="S104" i="15"/>
  <c r="S103" i="15"/>
  <c r="S100" i="15" s="1" a="1"/>
  <c r="S100" i="15" s="1"/>
  <c r="S75" i="16" s="1"/>
  <c r="S103" i="16" s="1"/>
  <c r="S133" i="16" s="1"/>
  <c r="Q97" i="15"/>
  <c r="Q94" i="15" s="1" a="1"/>
  <c r="Q94" i="15" s="1"/>
  <c r="Q67" i="16" s="1"/>
  <c r="Q98" i="15"/>
  <c r="U40" i="16"/>
  <c r="U43" i="16" s="1"/>
  <c r="T43" i="16"/>
  <c r="AH352" i="17"/>
  <c r="T108" i="15"/>
  <c r="S109" i="15"/>
  <c r="S106" i="15" s="1" a="1"/>
  <c r="S106" i="15" s="1"/>
  <c r="S15" i="16" s="1"/>
  <c r="S18" i="16" s="1"/>
  <c r="S110" i="15"/>
  <c r="O321" i="16" l="1"/>
  <c r="S184" i="16"/>
  <c r="S264" i="16" s="1"/>
  <c r="S581" i="16"/>
  <c r="S367" i="18" s="1"/>
  <c r="T399" i="16"/>
  <c r="T410" i="16" s="1"/>
  <c r="P321" i="16"/>
  <c r="Q321" i="16" s="1"/>
  <c r="R321" i="16" s="1"/>
  <c r="O332" i="16"/>
  <c r="N465" i="16"/>
  <c r="N351" i="16" s="1"/>
  <c r="N466" i="16"/>
  <c r="N352" i="16" s="1"/>
  <c r="N463" i="16"/>
  <c r="N315" i="16" s="1"/>
  <c r="N462" i="16"/>
  <c r="N314" i="16" s="1"/>
  <c r="L434" i="16"/>
  <c r="L194" i="16"/>
  <c r="L360" i="16" s="1"/>
  <c r="L368" i="16" s="1"/>
  <c r="N238" i="16"/>
  <c r="N239" i="16" s="1"/>
  <c r="N179" i="16"/>
  <c r="O106" i="16"/>
  <c r="O178" i="16"/>
  <c r="O450" i="16" s="1"/>
  <c r="Q125" i="16"/>
  <c r="Q95" i="16" s="1"/>
  <c r="P135" i="16"/>
  <c r="P136" i="16" s="1"/>
  <c r="P105" i="16"/>
  <c r="T104" i="15"/>
  <c r="T103" i="15"/>
  <c r="T100" i="15" s="1" a="1"/>
  <c r="T100" i="15" s="1"/>
  <c r="T75" i="16" s="1"/>
  <c r="T103" i="16" s="1"/>
  <c r="T133" i="16" s="1"/>
  <c r="R98" i="15"/>
  <c r="R97" i="15"/>
  <c r="R94" i="15" s="1" a="1"/>
  <c r="R94" i="15" s="1"/>
  <c r="R67" i="16" s="1"/>
  <c r="U108" i="15"/>
  <c r="T109" i="15"/>
  <c r="T106" i="15" s="1" a="1"/>
  <c r="T106" i="15" s="1"/>
  <c r="T15" i="16" s="1"/>
  <c r="T18" i="16" s="1"/>
  <c r="T110" i="15"/>
  <c r="U399" i="16" l="1"/>
  <c r="U410" i="16" s="1"/>
  <c r="U184" i="16" s="1"/>
  <c r="U264" i="16" s="1"/>
  <c r="S321" i="16"/>
  <c r="T184" i="16"/>
  <c r="T264" i="16" s="1"/>
  <c r="T581" i="16"/>
  <c r="T367" i="18" s="1"/>
  <c r="L195" i="16"/>
  <c r="L197" i="16" s="1"/>
  <c r="L265" i="16"/>
  <c r="O462" i="16"/>
  <c r="O314" i="16" s="1"/>
  <c r="O466" i="16"/>
  <c r="O352" i="16" s="1"/>
  <c r="O465" i="16"/>
  <c r="O351" i="16" s="1"/>
  <c r="O463" i="16"/>
  <c r="O315" i="16" s="1"/>
  <c r="N240" i="16"/>
  <c r="N241" i="16"/>
  <c r="O179" i="16"/>
  <c r="P106" i="16"/>
  <c r="P178" i="16"/>
  <c r="P450" i="16" s="1"/>
  <c r="Q105" i="16"/>
  <c r="R125" i="16"/>
  <c r="R95" i="16" s="1"/>
  <c r="Q135" i="16"/>
  <c r="Q136" i="16" s="1"/>
  <c r="S98" i="15"/>
  <c r="S97" i="15"/>
  <c r="S94" i="15" s="1" a="1"/>
  <c r="S94" i="15" s="1"/>
  <c r="S67" i="16" s="1"/>
  <c r="U103" i="15"/>
  <c r="U100" i="15" s="1" a="1"/>
  <c r="U100" i="15" s="1"/>
  <c r="U75" i="16" s="1"/>
  <c r="U103" i="16" s="1"/>
  <c r="U104" i="15"/>
  <c r="U110" i="15"/>
  <c r="U109" i="15"/>
  <c r="U106" i="15" s="1" a="1"/>
  <c r="U106" i="15" s="1"/>
  <c r="U15" i="16" s="1"/>
  <c r="U18" i="16" s="1"/>
  <c r="L281" i="18" l="1"/>
  <c r="AC176" i="16"/>
  <c r="L625" i="16"/>
  <c r="L627" i="16" s="1"/>
  <c r="L630" i="16" s="1"/>
  <c r="L291" i="18"/>
  <c r="U581" i="16"/>
  <c r="U367" i="18" s="1"/>
  <c r="T321" i="16"/>
  <c r="U321" i="16" s="1"/>
  <c r="L196" i="16"/>
  <c r="L263" i="16"/>
  <c r="L537" i="16"/>
  <c r="P465" i="16"/>
  <c r="P351" i="16" s="1"/>
  <c r="P466" i="16"/>
  <c r="P352" i="16" s="1"/>
  <c r="P462" i="16"/>
  <c r="P314" i="16" s="1"/>
  <c r="P463" i="16"/>
  <c r="P315" i="16" s="1"/>
  <c r="N244" i="16"/>
  <c r="N247" i="16" s="1"/>
  <c r="N242" i="16"/>
  <c r="L200" i="16"/>
  <c r="L203" i="16" s="1"/>
  <c r="L198" i="16"/>
  <c r="P179" i="16"/>
  <c r="Q106" i="16"/>
  <c r="Q178" i="16"/>
  <c r="Q450" i="16" s="1"/>
  <c r="S125" i="16"/>
  <c r="S95" i="16" s="1"/>
  <c r="R135" i="16"/>
  <c r="R136" i="16" s="1"/>
  <c r="R105" i="16"/>
  <c r="U133" i="16"/>
  <c r="T97" i="15"/>
  <c r="T94" i="15" s="1" a="1"/>
  <c r="T94" i="15" s="1"/>
  <c r="T67" i="16" s="1"/>
  <c r="T98" i="15"/>
  <c r="L576" i="16" l="1"/>
  <c r="L577" i="16" s="1"/>
  <c r="Z176" i="16"/>
  <c r="L360" i="18"/>
  <c r="L361" i="18" s="1"/>
  <c r="AC284" i="18"/>
  <c r="L628" i="16"/>
  <c r="L629" i="16" s="1"/>
  <c r="L631" i="16"/>
  <c r="L632" i="16" s="1"/>
  <c r="L366" i="18"/>
  <c r="L294" i="18"/>
  <c r="L538" i="16"/>
  <c r="L543" i="16"/>
  <c r="Q463" i="16"/>
  <c r="Q315" i="16" s="1"/>
  <c r="Q465" i="16"/>
  <c r="Q351" i="16" s="1"/>
  <c r="Q466" i="16"/>
  <c r="Q352" i="16" s="1"/>
  <c r="Q462" i="16"/>
  <c r="Q314" i="16" s="1"/>
  <c r="N248" i="16"/>
  <c r="Q179" i="16"/>
  <c r="R106" i="16"/>
  <c r="R178" i="16"/>
  <c r="R450" i="16" s="1"/>
  <c r="S105" i="16"/>
  <c r="T125" i="16"/>
  <c r="T95" i="16" s="1"/>
  <c r="S135" i="16"/>
  <c r="S136" i="16" s="1"/>
  <c r="U97" i="15"/>
  <c r="U94" i="15" s="1" a="1"/>
  <c r="U94" i="15" s="1"/>
  <c r="U67" i="16" s="1"/>
  <c r="U98" i="15"/>
  <c r="L604" i="16" l="1"/>
  <c r="L362" i="18"/>
  <c r="L363" i="18" s="1"/>
  <c r="Z284" i="18"/>
  <c r="L544" i="16"/>
  <c r="L287" i="16" s="1"/>
  <c r="L500" i="16"/>
  <c r="R463" i="16"/>
  <c r="R315" i="16" s="1"/>
  <c r="R462" i="16"/>
  <c r="R314" i="16" s="1"/>
  <c r="R466" i="16"/>
  <c r="R352" i="16" s="1"/>
  <c r="R465" i="16"/>
  <c r="R351" i="16" s="1"/>
  <c r="R179" i="16"/>
  <c r="S106" i="16"/>
  <c r="S178" i="16"/>
  <c r="S450" i="16" s="1"/>
  <c r="U125" i="16"/>
  <c r="T135" i="16"/>
  <c r="T136" i="16" s="1"/>
  <c r="T105" i="16"/>
  <c r="U135" i="16" l="1"/>
  <c r="U136" i="16" s="1"/>
  <c r="U95" i="16"/>
  <c r="U105" i="16" s="1"/>
  <c r="U178" i="16" s="1"/>
  <c r="U450" i="16" s="1"/>
  <c r="U462" i="16" s="1"/>
  <c r="U314" i="16" s="1"/>
  <c r="L545" i="16"/>
  <c r="S465" i="16"/>
  <c r="S351" i="16" s="1"/>
  <c r="S463" i="16"/>
  <c r="S315" i="16" s="1"/>
  <c r="S466" i="16"/>
  <c r="S352" i="16" s="1"/>
  <c r="S462" i="16"/>
  <c r="S314" i="16" s="1"/>
  <c r="S179" i="16"/>
  <c r="T106" i="16"/>
  <c r="T178" i="16"/>
  <c r="T450" i="16" s="1"/>
  <c r="U465" i="16" l="1"/>
  <c r="U351" i="16" s="1"/>
  <c r="U106" i="16"/>
  <c r="U466" i="16"/>
  <c r="U352" i="16" s="1"/>
  <c r="U463" i="16"/>
  <c r="U315" i="16" s="1"/>
  <c r="L373" i="16"/>
  <c r="L376" i="16" s="1"/>
  <c r="M542" i="16"/>
  <c r="T463" i="16"/>
  <c r="T315" i="16" s="1"/>
  <c r="T462" i="16"/>
  <c r="T314" i="16" s="1"/>
  <c r="T466" i="16"/>
  <c r="T352" i="16" s="1"/>
  <c r="T465" i="16"/>
  <c r="T351" i="16" s="1"/>
  <c r="T179" i="16"/>
  <c r="U179" i="16"/>
  <c r="L550" i="16" l="1"/>
  <c r="L551" i="16" s="1"/>
  <c r="L560" i="16" s="1"/>
  <c r="L391" i="18"/>
  <c r="L395" i="18" s="1"/>
  <c r="B6" i="6" l="1"/>
  <c r="E1" i="6"/>
  <c r="U462" i="17" l="1"/>
  <c r="K316" i="16" s="1"/>
  <c r="K464" i="16" l="1"/>
  <c r="U465" i="17"/>
  <c r="U594" i="17"/>
  <c r="U480" i="17" l="1"/>
  <c r="K319" i="16"/>
  <c r="K456" i="16"/>
  <c r="K467" i="16"/>
  <c r="K469" i="16" s="1"/>
  <c r="U602" i="17"/>
  <c r="U606" i="17"/>
  <c r="U608" i="17" s="1"/>
  <c r="U525" i="17" l="1"/>
  <c r="K334" i="16"/>
  <c r="K379" i="16" s="1"/>
  <c r="Y602" i="17" a="1"/>
  <c r="Y602" i="17" s="1"/>
  <c r="L72" i="15" s="1"/>
  <c r="L456" i="16" s="1"/>
  <c r="L464" i="16" s="1"/>
  <c r="Z602" i="17" a="1"/>
  <c r="Z602" i="17" s="1"/>
  <c r="M72" i="15" s="1"/>
  <c r="AA602" i="17" a="1"/>
  <c r="AA602" i="17" s="1"/>
  <c r="AB602" i="17" a="1"/>
  <c r="AB602" i="17" s="1"/>
  <c r="AC602" i="17" a="1"/>
  <c r="AC602" i="17" s="1"/>
  <c r="AD602" i="17" a="1"/>
  <c r="AD602" i="17" s="1"/>
  <c r="AE602" i="17" a="1"/>
  <c r="AE602" i="17" s="1"/>
  <c r="AF602" i="17" a="1"/>
  <c r="AF602" i="17" s="1"/>
  <c r="AG602" i="17" a="1"/>
  <c r="AG602" i="17" s="1"/>
  <c r="AH602" i="17" a="1"/>
  <c r="AH602" i="17" s="1"/>
  <c r="L467" i="16" l="1"/>
  <c r="L469" i="16" s="1"/>
  <c r="L316" i="16"/>
  <c r="N72" i="15"/>
  <c r="M456" i="16"/>
  <c r="M464" i="16" s="1"/>
  <c r="L270" i="16" l="1"/>
  <c r="L271" i="16" s="1"/>
  <c r="L495" i="16" s="1"/>
  <c r="L501" i="16" s="1"/>
  <c r="L504" i="16" s="1"/>
  <c r="L583" i="16"/>
  <c r="L369" i="18" s="1"/>
  <c r="M467" i="16"/>
  <c r="M469" i="16" s="1"/>
  <c r="M316" i="16"/>
  <c r="O72" i="15"/>
  <c r="N456" i="16"/>
  <c r="N464" i="16" s="1"/>
  <c r="M270" i="16" l="1"/>
  <c r="M583" i="16"/>
  <c r="M369" i="18" s="1"/>
  <c r="L505" i="16"/>
  <c r="L283" i="16"/>
  <c r="L288" i="16" s="1"/>
  <c r="L291" i="16" s="1"/>
  <c r="N467" i="16"/>
  <c r="N469" i="16" s="1"/>
  <c r="N316" i="16"/>
  <c r="P72" i="15"/>
  <c r="O456" i="16"/>
  <c r="O464" i="16" s="1"/>
  <c r="N270" i="16" l="1"/>
  <c r="N583" i="16"/>
  <c r="N369" i="18" s="1"/>
  <c r="L294" i="16"/>
  <c r="L307" i="16" s="1"/>
  <c r="L584" i="16"/>
  <c r="L482" i="16"/>
  <c r="L484" i="16" s="1"/>
  <c r="M481" i="16" s="1"/>
  <c r="M488" i="16" s="1"/>
  <c r="M489" i="16" s="1"/>
  <c r="M492" i="16" s="1"/>
  <c r="M180" i="16" s="1"/>
  <c r="O224" i="16" s="1"/>
  <c r="O225" i="16" s="1"/>
  <c r="M503" i="16"/>
  <c r="M508" i="16" s="1"/>
  <c r="M518" i="16" s="1"/>
  <c r="L347" i="16"/>
  <c r="L592" i="16" s="1"/>
  <c r="O467" i="16"/>
  <c r="O469" i="16" s="1"/>
  <c r="O316" i="16"/>
  <c r="Q72" i="15"/>
  <c r="P456" i="16"/>
  <c r="P464" i="16" s="1"/>
  <c r="O229" i="16" l="1"/>
  <c r="O226" i="16"/>
  <c r="O227" i="16"/>
  <c r="O270" i="16"/>
  <c r="O583" i="16"/>
  <c r="O369" i="18" s="1"/>
  <c r="M292" i="16"/>
  <c r="M188" i="16"/>
  <c r="M498" i="16"/>
  <c r="L547" i="16"/>
  <c r="L358" i="16"/>
  <c r="L370" i="16" s="1"/>
  <c r="L378" i="16" s="1"/>
  <c r="L370" i="18" s="1"/>
  <c r="L371" i="18" s="1"/>
  <c r="M181" i="16"/>
  <c r="R224" i="16"/>
  <c r="R225" i="16" s="1"/>
  <c r="P224" i="16"/>
  <c r="P225" i="16" s="1"/>
  <c r="Q224" i="16"/>
  <c r="Q225" i="16" s="1"/>
  <c r="L319" i="16"/>
  <c r="L334" i="16" s="1"/>
  <c r="P467" i="16"/>
  <c r="P469" i="16" s="1"/>
  <c r="P316" i="16"/>
  <c r="R72" i="15"/>
  <c r="Q456" i="16"/>
  <c r="Q464" i="16" s="1"/>
  <c r="O230" i="16" l="1"/>
  <c r="O231" i="16"/>
  <c r="M266" i="16"/>
  <c r="M285" i="16" s="1"/>
  <c r="O232" i="16"/>
  <c r="O233" i="16" s="1"/>
  <c r="M183" i="16"/>
  <c r="M182" i="16"/>
  <c r="Q227" i="16"/>
  <c r="Q226" i="16"/>
  <c r="P227" i="16"/>
  <c r="P226" i="16"/>
  <c r="R227" i="16"/>
  <c r="R226" i="16"/>
  <c r="P270" i="16"/>
  <c r="P583" i="16"/>
  <c r="P369" i="18" s="1"/>
  <c r="L553" i="16"/>
  <c r="L554" i="16" s="1"/>
  <c r="P232" i="16"/>
  <c r="L379" i="16"/>
  <c r="R232" i="16"/>
  <c r="Q232" i="16"/>
  <c r="L548" i="16"/>
  <c r="M185" i="16"/>
  <c r="Q229" i="16"/>
  <c r="Q231" i="16" s="1"/>
  <c r="P229" i="16"/>
  <c r="P231" i="16" s="1"/>
  <c r="R229" i="16"/>
  <c r="R231" i="16" s="1"/>
  <c r="Q467" i="16"/>
  <c r="Q469" i="16" s="1"/>
  <c r="Q316" i="16"/>
  <c r="S72" i="15"/>
  <c r="R456" i="16"/>
  <c r="R464" i="16" s="1"/>
  <c r="M187" i="16" l="1"/>
  <c r="AD177" i="16" s="1"/>
  <c r="M186" i="16"/>
  <c r="M575" i="16" s="1"/>
  <c r="R230" i="16"/>
  <c r="P230" i="16"/>
  <c r="Q230" i="16"/>
  <c r="L555" i="16"/>
  <c r="L558" i="16"/>
  <c r="L559" i="16"/>
  <c r="L556" i="16"/>
  <c r="L557" i="16"/>
  <c r="Q270" i="16"/>
  <c r="Q583" i="16"/>
  <c r="Q369" i="18" s="1"/>
  <c r="M574" i="16"/>
  <c r="M623" i="16" s="1"/>
  <c r="M189" i="16"/>
  <c r="M424" i="16" s="1"/>
  <c r="M429" i="16" s="1"/>
  <c r="R233" i="16"/>
  <c r="P233" i="16"/>
  <c r="P332" i="16"/>
  <c r="Q233" i="16"/>
  <c r="R467" i="16"/>
  <c r="R469" i="16" s="1"/>
  <c r="R316" i="16"/>
  <c r="T72" i="15"/>
  <c r="S456" i="16"/>
  <c r="S464" i="16" s="1"/>
  <c r="AB177" i="16" l="1"/>
  <c r="R270" i="16"/>
  <c r="R583" i="16"/>
  <c r="R369" i="18" s="1"/>
  <c r="M624" i="16"/>
  <c r="M580" i="16"/>
  <c r="M427" i="16"/>
  <c r="M432" i="16" s="1"/>
  <c r="Q332" i="16"/>
  <c r="S467" i="16"/>
  <c r="S469" i="16" s="1"/>
  <c r="S316" i="16"/>
  <c r="U72" i="15"/>
  <c r="U456" i="16" s="1"/>
  <c r="U464" i="16" s="1"/>
  <c r="T456" i="16"/>
  <c r="T464" i="16" s="1"/>
  <c r="P237" i="16" l="1"/>
  <c r="O237" i="16"/>
  <c r="S270" i="16"/>
  <c r="S583" i="16"/>
  <c r="S369" i="18" s="1"/>
  <c r="Q237" i="16"/>
  <c r="R237" i="16"/>
  <c r="M193" i="16"/>
  <c r="M433" i="16"/>
  <c r="R332" i="16"/>
  <c r="U467" i="16"/>
  <c r="U316" i="16"/>
  <c r="T467" i="16"/>
  <c r="T469" i="16" s="1"/>
  <c r="T316" i="16"/>
  <c r="M434" i="16" l="1"/>
  <c r="O238" i="16"/>
  <c r="O239" i="16" s="1"/>
  <c r="T270" i="16"/>
  <c r="T583" i="16"/>
  <c r="T369" i="18" s="1"/>
  <c r="Q238" i="16"/>
  <c r="Q239" i="16" s="1"/>
  <c r="Q241" i="16" s="1"/>
  <c r="M194" i="16"/>
  <c r="M360" i="16" s="1"/>
  <c r="M368" i="16" s="1"/>
  <c r="P238" i="16"/>
  <c r="P239" i="16" s="1"/>
  <c r="P240" i="16" s="1"/>
  <c r="R238" i="16"/>
  <c r="R239" i="16" s="1"/>
  <c r="R240" i="16" s="1"/>
  <c r="S332" i="16"/>
  <c r="U469" i="16"/>
  <c r="O241" i="16" l="1"/>
  <c r="O240" i="16"/>
  <c r="M195" i="16"/>
  <c r="M197" i="16" s="1"/>
  <c r="M265" i="16"/>
  <c r="U270" i="16"/>
  <c r="U583" i="16"/>
  <c r="U369" i="18" s="1"/>
  <c r="Q240" i="16"/>
  <c r="P241" i="16"/>
  <c r="P244" i="16" s="1"/>
  <c r="P247" i="16" s="1"/>
  <c r="R241" i="16"/>
  <c r="R244" i="16" s="1"/>
  <c r="R247" i="16" s="1"/>
  <c r="Q244" i="16"/>
  <c r="Q247" i="16" s="1"/>
  <c r="Q242" i="16"/>
  <c r="O242" i="16" l="1"/>
  <c r="O244" i="16"/>
  <c r="O247" i="16" s="1"/>
  <c r="O248" i="16" s="1"/>
  <c r="M281" i="18"/>
  <c r="AC177" i="16"/>
  <c r="M196" i="16"/>
  <c r="M625" i="16"/>
  <c r="M627" i="16" s="1"/>
  <c r="M630" i="16" s="1"/>
  <c r="M291" i="18"/>
  <c r="P242" i="16"/>
  <c r="R242" i="16"/>
  <c r="M537" i="16"/>
  <c r="M198" i="16"/>
  <c r="M263" i="16"/>
  <c r="M271" i="16" s="1"/>
  <c r="M200" i="16"/>
  <c r="M203" i="16" s="1"/>
  <c r="Q248" i="16"/>
  <c r="Q604" i="16" s="1"/>
  <c r="R248" i="16"/>
  <c r="P248" i="16"/>
  <c r="P604" i="16" s="1"/>
  <c r="M576" i="16" l="1"/>
  <c r="M577" i="16" s="1"/>
  <c r="Z177" i="16"/>
  <c r="M360" i="18"/>
  <c r="M361" i="18" s="1"/>
  <c r="AC285" i="18"/>
  <c r="R604" i="16"/>
  <c r="M631" i="16"/>
  <c r="M632" i="16" s="1"/>
  <c r="M628" i="16"/>
  <c r="M629" i="16" s="1"/>
  <c r="M366" i="18"/>
  <c r="M294" i="18"/>
  <c r="M495" i="16"/>
  <c r="M538" i="16"/>
  <c r="M543" i="16"/>
  <c r="M604" i="16" l="1"/>
  <c r="L608" i="16" s="1"/>
  <c r="L609" i="16" s="1"/>
  <c r="M362" i="18"/>
  <c r="M363" i="18" s="1"/>
  <c r="Z285" i="18"/>
  <c r="L396" i="18"/>
  <c r="M544" i="16"/>
  <c r="M287" i="16" s="1"/>
  <c r="M500" i="16"/>
  <c r="M501" i="16" s="1"/>
  <c r="M504" i="16" s="1"/>
  <c r="M505" i="16" s="1"/>
  <c r="M545" i="16" l="1"/>
  <c r="M373" i="16" s="1"/>
  <c r="M376" i="16" s="1"/>
  <c r="M283" i="16"/>
  <c r="M288" i="16" s="1"/>
  <c r="M291" i="16" s="1"/>
  <c r="M294" i="16" s="1"/>
  <c r="N292" i="16" s="1"/>
  <c r="N503" i="16"/>
  <c r="N508" i="16" s="1"/>
  <c r="N518" i="16" s="1"/>
  <c r="M347" i="16"/>
  <c r="M592" i="16" s="1"/>
  <c r="M550" i="16" l="1"/>
  <c r="M551" i="16" s="1"/>
  <c r="M560" i="16" s="1"/>
  <c r="M391" i="18"/>
  <c r="M395" i="18" s="1"/>
  <c r="N542" i="16"/>
  <c r="M482" i="16"/>
  <c r="M484" i="16" s="1"/>
  <c r="N481" i="16" s="1"/>
  <c r="N488" i="16" s="1"/>
  <c r="N489" i="16" s="1"/>
  <c r="N492" i="16" s="1"/>
  <c r="N180" i="16" s="1"/>
  <c r="S224" i="16" s="1"/>
  <c r="S225" i="16" s="1"/>
  <c r="M584" i="16"/>
  <c r="N188" i="16"/>
  <c r="N498" i="16"/>
  <c r="M307" i="16"/>
  <c r="M319" i="16" s="1"/>
  <c r="M334" i="16" s="1"/>
  <c r="M547" i="16"/>
  <c r="M358" i="16"/>
  <c r="M370" i="16" s="1"/>
  <c r="M378" i="16" s="1"/>
  <c r="M370" i="18" s="1"/>
  <c r="M371" i="18" s="1"/>
  <c r="S229" i="16" l="1"/>
  <c r="S226" i="16"/>
  <c r="S227" i="16"/>
  <c r="N266" i="16"/>
  <c r="N285" i="16" s="1"/>
  <c r="S232" i="16"/>
  <c r="U232" i="16"/>
  <c r="T232" i="16"/>
  <c r="T224" i="16"/>
  <c r="T225" i="16" s="1"/>
  <c r="N181" i="16"/>
  <c r="U224" i="16"/>
  <c r="U225" i="16" s="1"/>
  <c r="M379" i="16"/>
  <c r="M548" i="16"/>
  <c r="M553" i="16"/>
  <c r="M554" i="16" s="1"/>
  <c r="T332" i="16"/>
  <c r="U332" i="16"/>
  <c r="S233" i="16" l="1"/>
  <c r="S230" i="16"/>
  <c r="S231" i="16"/>
  <c r="U227" i="16"/>
  <c r="U226" i="16"/>
  <c r="N183" i="16"/>
  <c r="N182" i="16"/>
  <c r="T227" i="16"/>
  <c r="T226" i="16"/>
  <c r="M555" i="16"/>
  <c r="M558" i="16"/>
  <c r="M559" i="16"/>
  <c r="M557" i="16"/>
  <c r="M556" i="16"/>
  <c r="U229" i="16"/>
  <c r="U231" i="16" s="1"/>
  <c r="N185" i="16"/>
  <c r="T229" i="16"/>
  <c r="T231" i="16" s="1"/>
  <c r="N186" i="16" l="1"/>
  <c r="N575" i="16" s="1"/>
  <c r="N187" i="16"/>
  <c r="AD178" i="16" s="1"/>
  <c r="T230" i="16"/>
  <c r="U230" i="16"/>
  <c r="N574" i="16"/>
  <c r="N189" i="16"/>
  <c r="N424" i="16" s="1"/>
  <c r="T233" i="16"/>
  <c r="U233" i="16"/>
  <c r="AB178" i="16" l="1"/>
  <c r="N429" i="16"/>
  <c r="N427" i="16"/>
  <c r="N432" i="16" s="1"/>
  <c r="S237" i="16" s="1"/>
  <c r="N580" i="16"/>
  <c r="N433" i="16" l="1"/>
  <c r="T237" i="16"/>
  <c r="U237" i="16"/>
  <c r="N193" i="16"/>
  <c r="T238" i="16" l="1"/>
  <c r="S238" i="16"/>
  <c r="S239" i="16" s="1"/>
  <c r="U238" i="16"/>
  <c r="U239" i="16" s="1"/>
  <c r="N434" i="16"/>
  <c r="N194" i="16"/>
  <c r="T239" i="16"/>
  <c r="T241" i="16" s="1"/>
  <c r="N360" i="16"/>
  <c r="N368" i="16" s="1"/>
  <c r="N195" i="16"/>
  <c r="N265" i="16"/>
  <c r="S241" i="16" l="1"/>
  <c r="S240" i="16"/>
  <c r="U240" i="16"/>
  <c r="U241" i="16"/>
  <c r="U242" i="16" s="1"/>
  <c r="T240" i="16"/>
  <c r="T242" i="16"/>
  <c r="T244" i="16"/>
  <c r="T247" i="16" s="1"/>
  <c r="N196" i="16"/>
  <c r="N197" i="16"/>
  <c r="AC178" i="16" s="1"/>
  <c r="S242" i="16" l="1"/>
  <c r="S244" i="16"/>
  <c r="S247" i="16" s="1"/>
  <c r="S248" i="16" s="1"/>
  <c r="S604" i="16" s="1"/>
  <c r="U244" i="16"/>
  <c r="U247" i="16" s="1"/>
  <c r="N291" i="18"/>
  <c r="N366" i="18" s="1"/>
  <c r="N281" i="18"/>
  <c r="N537" i="16"/>
  <c r="N198" i="16"/>
  <c r="N200" i="16"/>
  <c r="N203" i="16" s="1"/>
  <c r="N263" i="16"/>
  <c r="N271" i="16" s="1"/>
  <c r="N495" i="16" s="1"/>
  <c r="T248" i="16"/>
  <c r="T604" i="16" s="1"/>
  <c r="P608" i="16" s="1"/>
  <c r="P609" i="16" s="1"/>
  <c r="U248" i="16"/>
  <c r="U604" i="16" s="1"/>
  <c r="Q608" i="16" s="1"/>
  <c r="Q609" i="16" s="1"/>
  <c r="N576" i="16" l="1"/>
  <c r="N577" i="16" s="1"/>
  <c r="Z178" i="16"/>
  <c r="N360" i="18"/>
  <c r="N361" i="18" s="1"/>
  <c r="AC286" i="18"/>
  <c r="N294" i="18"/>
  <c r="M396" i="18"/>
  <c r="N538" i="16"/>
  <c r="N543" i="16"/>
  <c r="N604" i="16" l="1"/>
  <c r="M608" i="16" s="1"/>
  <c r="M609" i="16" s="1"/>
  <c r="N362" i="18"/>
  <c r="N363" i="18" s="1"/>
  <c r="Z286" i="18"/>
  <c r="N544" i="16"/>
  <c r="N287" i="16" s="1"/>
  <c r="N500" i="16"/>
  <c r="N501" i="16" s="1"/>
  <c r="N504" i="16" s="1"/>
  <c r="N505" i="16" l="1"/>
  <c r="N283" i="16"/>
  <c r="N288" i="16" s="1"/>
  <c r="N291" i="16" s="1"/>
  <c r="N545" i="16"/>
  <c r="N482" i="16" l="1"/>
  <c r="N484" i="16" s="1"/>
  <c r="O481" i="16" s="1"/>
  <c r="O488" i="16" s="1"/>
  <c r="O489" i="16" s="1"/>
  <c r="O492" i="16" s="1"/>
  <c r="O180" i="16" s="1"/>
  <c r="O181" i="16" s="1"/>
  <c r="N584" i="16"/>
  <c r="N294" i="16"/>
  <c r="N373" i="16"/>
  <c r="N376" i="16" s="1"/>
  <c r="N391" i="18" s="1"/>
  <c r="O542" i="16"/>
  <c r="O503" i="16"/>
  <c r="O508" i="16" s="1"/>
  <c r="O518" i="16" s="1"/>
  <c r="N347" i="16"/>
  <c r="O183" i="16" l="1"/>
  <c r="O182" i="16"/>
  <c r="N550" i="16"/>
  <c r="N551" i="16" s="1"/>
  <c r="N560" i="16" s="1"/>
  <c r="O292" i="16"/>
  <c r="N307" i="16"/>
  <c r="N319" i="16" s="1"/>
  <c r="N334" i="16" s="1"/>
  <c r="N592" i="16"/>
  <c r="N547" i="16"/>
  <c r="N548" i="16" s="1"/>
  <c r="N358" i="16"/>
  <c r="N370" i="16" s="1"/>
  <c r="N378" i="16" s="1"/>
  <c r="N370" i="18" s="1"/>
  <c r="N371" i="18" s="1"/>
  <c r="O188" i="16"/>
  <c r="O266" i="16" s="1"/>
  <c r="O285" i="16" s="1"/>
  <c r="O498" i="16"/>
  <c r="O185" i="16"/>
  <c r="O186" i="16" l="1"/>
  <c r="O575" i="16" s="1"/>
  <c r="O187" i="16"/>
  <c r="N556" i="16"/>
  <c r="O574" i="16"/>
  <c r="O189" i="16"/>
  <c r="O424" i="16" s="1"/>
  <c r="N379" i="16"/>
  <c r="N553" i="16"/>
  <c r="N554" i="16" s="1"/>
  <c r="N555" i="16" l="1"/>
  <c r="N558" i="16"/>
  <c r="N559" i="16"/>
  <c r="N557" i="16"/>
  <c r="O429" i="16"/>
  <c r="O427" i="16"/>
  <c r="O432" i="16" s="1"/>
  <c r="O580" i="16"/>
  <c r="O433" i="16" l="1"/>
  <c r="O194" i="16" s="1"/>
  <c r="O193" i="16"/>
  <c r="O434" i="16" l="1"/>
  <c r="O360" i="16"/>
  <c r="O368" i="16" s="1"/>
  <c r="O195" i="16"/>
  <c r="O265" i="16"/>
  <c r="O196" i="16" l="1"/>
  <c r="O197" i="16"/>
  <c r="O291" i="18" l="1"/>
  <c r="O366" i="18" s="1"/>
  <c r="O281" i="18"/>
  <c r="O360" i="18" s="1"/>
  <c r="O361" i="18" s="1"/>
  <c r="O537" i="16"/>
  <c r="O263" i="16"/>
  <c r="O271" i="16" s="1"/>
  <c r="O495" i="16" s="1"/>
  <c r="O200" i="16"/>
  <c r="O203" i="16" s="1"/>
  <c r="O576" i="16" s="1"/>
  <c r="O577" i="16" s="1"/>
  <c r="O198" i="16"/>
  <c r="O294" i="18" l="1"/>
  <c r="O362" i="18" s="1"/>
  <c r="O363" i="18" s="1"/>
  <c r="O543" i="16"/>
  <c r="O538" i="16"/>
  <c r="O544" i="16" l="1"/>
  <c r="O287" i="16" s="1"/>
  <c r="O500" i="16"/>
  <c r="O501" i="16" s="1"/>
  <c r="O504" i="16" s="1"/>
  <c r="O545" i="16" l="1"/>
  <c r="O373" i="16" s="1"/>
  <c r="O376" i="16" s="1"/>
  <c r="O505" i="16"/>
  <c r="O283" i="16"/>
  <c r="O288" i="16" s="1"/>
  <c r="O291" i="16" s="1"/>
  <c r="P542" i="16" l="1"/>
  <c r="O550" i="16"/>
  <c r="O551" i="16" s="1"/>
  <c r="O560" i="16" s="1"/>
  <c r="O294" i="16"/>
  <c r="O584" i="16"/>
  <c r="O482" i="16"/>
  <c r="O484" i="16" s="1"/>
  <c r="P481" i="16" s="1"/>
  <c r="P488" i="16" s="1"/>
  <c r="P489" i="16" s="1"/>
  <c r="P492" i="16" s="1"/>
  <c r="P180" i="16" s="1"/>
  <c r="P181" i="16" s="1"/>
  <c r="P503" i="16"/>
  <c r="P508" i="16" s="1"/>
  <c r="P518" i="16" s="1"/>
  <c r="O347" i="16"/>
  <c r="P183" i="16" l="1"/>
  <c r="P182" i="16"/>
  <c r="P188" i="16"/>
  <c r="P266" i="16" s="1"/>
  <c r="P285" i="16" s="1"/>
  <c r="P498" i="16"/>
  <c r="P185" i="16"/>
  <c r="O547" i="16"/>
  <c r="O548" i="16" s="1"/>
  <c r="O358" i="16"/>
  <c r="O370" i="16" s="1"/>
  <c r="P292" i="16"/>
  <c r="O307" i="16"/>
  <c r="O319" i="16" s="1"/>
  <c r="O334" i="16" s="1"/>
  <c r="P187" i="16" l="1"/>
  <c r="P186" i="16"/>
  <c r="P575" i="16" s="1"/>
  <c r="O556" i="16"/>
  <c r="O378" i="16"/>
  <c r="O553" i="16"/>
  <c r="O554" i="16" s="1"/>
  <c r="P574" i="16"/>
  <c r="P189" i="16"/>
  <c r="P424" i="16" s="1"/>
  <c r="O555" i="16" l="1"/>
  <c r="O559" i="16"/>
  <c r="O558" i="16"/>
  <c r="O557" i="16"/>
  <c r="O379" i="16"/>
  <c r="O370" i="18"/>
  <c r="O371" i="18" s="1"/>
  <c r="P580" i="16"/>
  <c r="P429" i="16"/>
  <c r="P427" i="16"/>
  <c r="P432" i="16" s="1"/>
  <c r="P433" i="16" l="1"/>
  <c r="P194" i="16" s="1"/>
  <c r="P193" i="16"/>
  <c r="P434" i="16" l="1"/>
  <c r="P360" i="16"/>
  <c r="P368" i="16" s="1"/>
  <c r="P195" i="16"/>
  <c r="P265" i="16"/>
  <c r="P197" i="16" l="1"/>
  <c r="P196" i="16"/>
  <c r="P291" i="18" l="1"/>
  <c r="P366" i="18" s="1"/>
  <c r="P281" i="18"/>
  <c r="P360" i="18" s="1"/>
  <c r="P361" i="18" s="1"/>
  <c r="P198" i="16"/>
  <c r="P200" i="16"/>
  <c r="P203" i="16" s="1"/>
  <c r="P576" i="16" s="1"/>
  <c r="P577" i="16" s="1"/>
  <c r="P537" i="16"/>
  <c r="P263" i="16"/>
  <c r="P271" i="16" s="1"/>
  <c r="P495" i="16" s="1"/>
  <c r="P294" i="18" l="1"/>
  <c r="P362" i="18" s="1"/>
  <c r="P363" i="18" s="1"/>
  <c r="P543" i="16"/>
  <c r="P538" i="16"/>
  <c r="P500" i="16" l="1"/>
  <c r="P501" i="16" s="1"/>
  <c r="P504" i="16" s="1"/>
  <c r="P544" i="16"/>
  <c r="P287" i="16" s="1"/>
  <c r="P505" i="16" l="1"/>
  <c r="P283" i="16"/>
  <c r="P288" i="16" s="1"/>
  <c r="P291" i="16" s="1"/>
  <c r="P545" i="16"/>
  <c r="Q542" i="16" l="1"/>
  <c r="P373" i="16"/>
  <c r="P376" i="16" s="1"/>
  <c r="P482" i="16"/>
  <c r="P484" i="16" s="1"/>
  <c r="Q481" i="16" s="1"/>
  <c r="Q488" i="16" s="1"/>
  <c r="Q489" i="16" s="1"/>
  <c r="Q492" i="16" s="1"/>
  <c r="Q180" i="16" s="1"/>
  <c r="Q181" i="16" s="1"/>
  <c r="P584" i="16"/>
  <c r="P294" i="16"/>
  <c r="Q503" i="16"/>
  <c r="Q508" i="16" s="1"/>
  <c r="Q518" i="16" s="1"/>
  <c r="P347" i="16"/>
  <c r="Q183" i="16" l="1"/>
  <c r="Q182" i="16"/>
  <c r="P547" i="16"/>
  <c r="P548" i="16" s="1"/>
  <c r="P358" i="16"/>
  <c r="P370" i="16" s="1"/>
  <c r="P378" i="16" s="1"/>
  <c r="P370" i="18" s="1"/>
  <c r="Q188" i="16"/>
  <c r="Q266" i="16" s="1"/>
  <c r="Q285" i="16" s="1"/>
  <c r="Q498" i="16"/>
  <c r="Q292" i="16"/>
  <c r="P307" i="16"/>
  <c r="P319" i="16" s="1"/>
  <c r="P334" i="16" s="1"/>
  <c r="P550" i="16"/>
  <c r="P551" i="16" s="1"/>
  <c r="P560" i="16" s="1"/>
  <c r="Q185" i="16"/>
  <c r="Q187" i="16" l="1"/>
  <c r="Q186" i="16"/>
  <c r="Q575" i="16" s="1"/>
  <c r="P556" i="16"/>
  <c r="P371" i="18"/>
  <c r="Q574" i="16"/>
  <c r="Q189" i="16"/>
  <c r="P553" i="16"/>
  <c r="P554" i="16" s="1"/>
  <c r="P557" i="16" s="1"/>
  <c r="P379" i="16"/>
  <c r="P555" i="16" l="1"/>
  <c r="P559" i="16"/>
  <c r="P558" i="16"/>
  <c r="Q424" i="16"/>
  <c r="Q580" i="16"/>
  <c r="Q427" i="16" l="1"/>
  <c r="Q432" i="16" s="1"/>
  <c r="Q429" i="16"/>
  <c r="Q433" i="16" l="1"/>
  <c r="Q194" i="16" s="1"/>
  <c r="Q265" i="16" s="1"/>
  <c r="Q193" i="16"/>
  <c r="Q195" i="16" l="1"/>
  <c r="Q196" i="16" s="1"/>
  <c r="Q360" i="16"/>
  <c r="Q368" i="16" s="1"/>
  <c r="Q434" i="16"/>
  <c r="Q197" i="16" l="1"/>
  <c r="Q291" i="18" l="1"/>
  <c r="Q366" i="18" s="1"/>
  <c r="Q281" i="18"/>
  <c r="Q360" i="18" s="1"/>
  <c r="Q361" i="18" s="1"/>
  <c r="Q198" i="16"/>
  <c r="Q537" i="16"/>
  <c r="Q263" i="16"/>
  <c r="Q271" i="16" s="1"/>
  <c r="Q495" i="16" s="1"/>
  <c r="Q200" i="16"/>
  <c r="Q203" i="16" s="1"/>
  <c r="Q576" i="16" s="1"/>
  <c r="Q577" i="16" s="1"/>
  <c r="Q543" i="16" l="1"/>
  <c r="Q294" i="18"/>
  <c r="Q362" i="18" s="1"/>
  <c r="Q363" i="18" s="1"/>
  <c r="Q538" i="16"/>
  <c r="Q500" i="16" s="1"/>
  <c r="Q501" i="16" s="1"/>
  <c r="Q504" i="16" s="1"/>
  <c r="Q544" i="16" l="1"/>
  <c r="Q287" i="16" s="1"/>
  <c r="Q505" i="16"/>
  <c r="Q283" i="16"/>
  <c r="Q288" i="16" l="1"/>
  <c r="Q291" i="16" s="1"/>
  <c r="Q482" i="16" s="1"/>
  <c r="Q484" i="16" s="1"/>
  <c r="R481" i="16" s="1"/>
  <c r="R488" i="16" s="1"/>
  <c r="R489" i="16" s="1"/>
  <c r="R492" i="16" s="1"/>
  <c r="R180" i="16" s="1"/>
  <c r="R181" i="16" s="1"/>
  <c r="Q545" i="16"/>
  <c r="R542" i="16" s="1"/>
  <c r="Q584" i="16"/>
  <c r="R503" i="16"/>
  <c r="R508" i="16" s="1"/>
  <c r="R518" i="16" s="1"/>
  <c r="Q347" i="16"/>
  <c r="R183" i="16" l="1"/>
  <c r="R182" i="16"/>
  <c r="Q294" i="16"/>
  <c r="R292" i="16" s="1"/>
  <c r="Q373" i="16"/>
  <c r="Q376" i="16" s="1"/>
  <c r="Q550" i="16" s="1"/>
  <c r="Q551" i="16" s="1"/>
  <c r="Q560" i="16" s="1"/>
  <c r="R185" i="16"/>
  <c r="Q547" i="16"/>
  <c r="Q548" i="16" s="1"/>
  <c r="Q358" i="16"/>
  <c r="Q370" i="16" s="1"/>
  <c r="R188" i="16"/>
  <c r="R266" i="16" s="1"/>
  <c r="R285" i="16" s="1"/>
  <c r="R498" i="16"/>
  <c r="R187" i="16" l="1"/>
  <c r="R186" i="16"/>
  <c r="R575" i="16" s="1"/>
  <c r="Q556" i="16"/>
  <c r="Q307" i="16"/>
  <c r="Q319" i="16" s="1"/>
  <c r="Q334" i="16" s="1"/>
  <c r="R574" i="16"/>
  <c r="R189" i="16"/>
  <c r="Q378" i="16"/>
  <c r="Q553" i="16" l="1"/>
  <c r="Q554" i="16" s="1"/>
  <c r="Q379" i="16"/>
  <c r="Q370" i="18"/>
  <c r="Q371" i="18" s="1"/>
  <c r="R580" i="16"/>
  <c r="R424" i="16"/>
  <c r="Q555" i="16" l="1"/>
  <c r="Q558" i="16"/>
  <c r="Q559" i="16"/>
  <c r="Q557" i="16"/>
  <c r="R427" i="16"/>
  <c r="R432" i="16" s="1"/>
  <c r="R429" i="16"/>
  <c r="R433" i="16" l="1"/>
  <c r="R194" i="16" s="1"/>
  <c r="R360" i="16" s="1"/>
  <c r="R368" i="16" s="1"/>
  <c r="R193" i="16"/>
  <c r="R434" i="16" l="1"/>
  <c r="R195" i="16"/>
  <c r="R196" i="16" s="1"/>
  <c r="R265" i="16"/>
  <c r="R197" i="16" l="1"/>
  <c r="R263" i="16" s="1"/>
  <c r="R271" i="16" s="1"/>
  <c r="R495" i="16" s="1"/>
  <c r="R291" i="18"/>
  <c r="R294" i="18" s="1"/>
  <c r="R362" i="18" s="1"/>
  <c r="R363" i="18" s="1"/>
  <c r="R200" i="16" l="1"/>
  <c r="R203" i="16" s="1"/>
  <c r="R576" i="16" s="1"/>
  <c r="R577" i="16" s="1"/>
  <c r="R198" i="16"/>
  <c r="R537" i="16"/>
  <c r="R281" i="18"/>
  <c r="R360" i="18" s="1"/>
  <c r="R361" i="18" s="1"/>
  <c r="R366" i="18"/>
  <c r="R543" i="16"/>
  <c r="R538" i="16"/>
  <c r="R500" i="16" l="1"/>
  <c r="R501" i="16" s="1"/>
  <c r="R504" i="16" s="1"/>
  <c r="R544" i="16"/>
  <c r="R287" i="16" s="1"/>
  <c r="R545" i="16" l="1"/>
  <c r="S542" i="16" s="1"/>
  <c r="R505" i="16"/>
  <c r="R283" i="16"/>
  <c r="R288" i="16" s="1"/>
  <c r="R291" i="16" s="1"/>
  <c r="R373" i="16" l="1"/>
  <c r="R376" i="16" s="1"/>
  <c r="R550" i="16" s="1"/>
  <c r="R551" i="16" s="1"/>
  <c r="R560" i="16" s="1"/>
  <c r="S503" i="16"/>
  <c r="S508" i="16" s="1"/>
  <c r="S518" i="16" s="1"/>
  <c r="R347" i="16"/>
  <c r="R482" i="16"/>
  <c r="R484" i="16" s="1"/>
  <c r="S481" i="16" s="1"/>
  <c r="S488" i="16" s="1"/>
  <c r="S489" i="16" s="1"/>
  <c r="S492" i="16" s="1"/>
  <c r="S180" i="16" s="1"/>
  <c r="S181" i="16" s="1"/>
  <c r="R584" i="16"/>
  <c r="R294" i="16"/>
  <c r="S183" i="16" l="1"/>
  <c r="S182" i="16"/>
  <c r="S292" i="16"/>
  <c r="R307" i="16"/>
  <c r="R319" i="16" s="1"/>
  <c r="R334" i="16" s="1"/>
  <c r="S185" i="16"/>
  <c r="R547" i="16"/>
  <c r="R548" i="16" s="1"/>
  <c r="R358" i="16"/>
  <c r="R370" i="16" s="1"/>
  <c r="S188" i="16"/>
  <c r="S266" i="16" s="1"/>
  <c r="S285" i="16" s="1"/>
  <c r="S498" i="16"/>
  <c r="S187" i="16" l="1"/>
  <c r="S186" i="16"/>
  <c r="S575" i="16" s="1"/>
  <c r="R556" i="16"/>
  <c r="R378" i="16"/>
  <c r="R553" i="16"/>
  <c r="R554" i="16" s="1"/>
  <c r="R557" i="16" s="1"/>
  <c r="S574" i="16"/>
  <c r="S189" i="16"/>
  <c r="R555" i="16" l="1"/>
  <c r="R559" i="16"/>
  <c r="R558" i="16"/>
  <c r="R379" i="16"/>
  <c r="R370" i="18"/>
  <c r="R371" i="18" s="1"/>
  <c r="S580" i="16"/>
  <c r="S424" i="16"/>
  <c r="S427" i="16" l="1"/>
  <c r="S432" i="16" s="1"/>
  <c r="S429" i="16"/>
  <c r="S433" i="16" l="1"/>
  <c r="S194" i="16" s="1"/>
  <c r="S265" i="16" s="1"/>
  <c r="S193" i="16"/>
  <c r="S360" i="16" l="1"/>
  <c r="S368" i="16" s="1"/>
  <c r="S434" i="16"/>
  <c r="S195" i="16"/>
  <c r="S196" i="16" s="1"/>
  <c r="S197" i="16" l="1"/>
  <c r="S281" i="18" s="1"/>
  <c r="S360" i="18" s="1"/>
  <c r="S361" i="18" s="1"/>
  <c r="S200" i="16" l="1"/>
  <c r="S203" i="16" s="1"/>
  <c r="S576" i="16" s="1"/>
  <c r="S577" i="16" s="1"/>
  <c r="S291" i="18"/>
  <c r="S537" i="16"/>
  <c r="S198" i="16"/>
  <c r="S263" i="16"/>
  <c r="S271" i="16" s="1"/>
  <c r="S495" i="16" s="1"/>
  <c r="S538" i="16" l="1"/>
  <c r="S366" i="18"/>
  <c r="S294" i="18"/>
  <c r="S362" i="18" s="1"/>
  <c r="S363" i="18" s="1"/>
  <c r="S543" i="16"/>
  <c r="S544" i="16"/>
  <c r="S287" i="16" s="1"/>
  <c r="S500" i="16"/>
  <c r="S501" i="16" s="1"/>
  <c r="S504" i="16" s="1"/>
  <c r="S283" i="16" l="1"/>
  <c r="S288" i="16" s="1"/>
  <c r="S291" i="16" s="1"/>
  <c r="S505" i="16"/>
  <c r="S545" i="16"/>
  <c r="T503" i="16" l="1"/>
  <c r="T508" i="16" s="1"/>
  <c r="T518" i="16" s="1"/>
  <c r="S347" i="16"/>
  <c r="T542" i="16"/>
  <c r="S373" i="16"/>
  <c r="S376" i="16" s="1"/>
  <c r="S482" i="16"/>
  <c r="S484" i="16" s="1"/>
  <c r="T481" i="16" s="1"/>
  <c r="T488" i="16" s="1"/>
  <c r="T489" i="16" s="1"/>
  <c r="T492" i="16" s="1"/>
  <c r="T180" i="16" s="1"/>
  <c r="T181" i="16" s="1"/>
  <c r="S584" i="16"/>
  <c r="S294" i="16"/>
  <c r="T183" i="16" l="1"/>
  <c r="T182" i="16"/>
  <c r="S307" i="16"/>
  <c r="S319" i="16" s="1"/>
  <c r="S334" i="16" s="1"/>
  <c r="T292" i="16"/>
  <c r="S550" i="16"/>
  <c r="S551" i="16" s="1"/>
  <c r="S560" i="16" s="1"/>
  <c r="T185" i="16"/>
  <c r="S547" i="16"/>
  <c r="S548" i="16" s="1"/>
  <c r="S358" i="16"/>
  <c r="S370" i="16" s="1"/>
  <c r="S378" i="16" s="1"/>
  <c r="S370" i="18" s="1"/>
  <c r="S371" i="18" s="1"/>
  <c r="T188" i="16"/>
  <c r="T266" i="16" s="1"/>
  <c r="T285" i="16" s="1"/>
  <c r="T498" i="16"/>
  <c r="T187" i="16" l="1"/>
  <c r="T186" i="16"/>
  <c r="T575" i="16" s="1"/>
  <c r="S556" i="16"/>
  <c r="S379" i="16"/>
  <c r="T574" i="16"/>
  <c r="T189" i="16"/>
  <c r="S553" i="16"/>
  <c r="S554" i="16" s="1"/>
  <c r="S555" i="16" l="1"/>
  <c r="S558" i="16"/>
  <c r="S559" i="16"/>
  <c r="S557" i="16"/>
  <c r="T580" i="16"/>
  <c r="T424" i="16"/>
  <c r="T429" i="16" l="1"/>
  <c r="T427" i="16"/>
  <c r="T432" i="16" s="1"/>
  <c r="T433" i="16" l="1"/>
  <c r="T194" i="16" s="1"/>
  <c r="T193" i="16"/>
  <c r="T195" i="16" l="1"/>
  <c r="T196" i="16" s="1"/>
  <c r="T360" i="16"/>
  <c r="T368" i="16" s="1"/>
  <c r="T265" i="16"/>
  <c r="T434" i="16"/>
  <c r="T197" i="16" l="1"/>
  <c r="T537" i="16" s="1"/>
  <c r="T200" i="16" l="1"/>
  <c r="T203" i="16" s="1"/>
  <c r="T576" i="16" s="1"/>
  <c r="T577" i="16" s="1"/>
  <c r="T198" i="16"/>
  <c r="T263" i="16"/>
  <c r="T271" i="16" s="1"/>
  <c r="T495" i="16" s="1"/>
  <c r="T291" i="18"/>
  <c r="T294" i="18" s="1"/>
  <c r="T362" i="18" s="1"/>
  <c r="T363" i="18" s="1"/>
  <c r="T281" i="18"/>
  <c r="T360" i="18" s="1"/>
  <c r="T361" i="18" s="1"/>
  <c r="T543" i="16"/>
  <c r="T538" i="16"/>
  <c r="T366" i="18" l="1"/>
  <c r="T500" i="16"/>
  <c r="T501" i="16" s="1"/>
  <c r="T504" i="16" s="1"/>
  <c r="T544" i="16"/>
  <c r="T287" i="16" s="1"/>
  <c r="T545" i="16" l="1"/>
  <c r="U542" i="16" s="1"/>
  <c r="T505" i="16"/>
  <c r="T283" i="16"/>
  <c r="T288" i="16" s="1"/>
  <c r="T291" i="16" s="1"/>
  <c r="T373" i="16" l="1"/>
  <c r="T376" i="16" s="1"/>
  <c r="T550" i="16" s="1"/>
  <c r="T551" i="16" s="1"/>
  <c r="T560" i="16" s="1"/>
  <c r="T482" i="16"/>
  <c r="T484" i="16" s="1"/>
  <c r="U481" i="16" s="1"/>
  <c r="U488" i="16" s="1"/>
  <c r="U489" i="16" s="1"/>
  <c r="U492" i="16" s="1"/>
  <c r="U180" i="16" s="1"/>
  <c r="U181" i="16" s="1"/>
  <c r="T584" i="16"/>
  <c r="T294" i="16"/>
  <c r="U503" i="16"/>
  <c r="U508" i="16" s="1"/>
  <c r="U518" i="16" s="1"/>
  <c r="T347" i="16"/>
  <c r="U183" i="16" l="1"/>
  <c r="U182" i="16"/>
  <c r="U292" i="16"/>
  <c r="T307" i="16"/>
  <c r="T319" i="16" s="1"/>
  <c r="T334" i="16" s="1"/>
  <c r="U498" i="16"/>
  <c r="U188" i="16"/>
  <c r="U266" i="16" s="1"/>
  <c r="U285" i="16" s="1"/>
  <c r="T547" i="16"/>
  <c r="T548" i="16" s="1"/>
  <c r="T358" i="16"/>
  <c r="T370" i="16" s="1"/>
  <c r="U185" i="16"/>
  <c r="U186" i="16" l="1"/>
  <c r="U575" i="16" s="1"/>
  <c r="U187" i="16"/>
  <c r="T556" i="16"/>
  <c r="U574" i="16"/>
  <c r="U189" i="16"/>
  <c r="T378" i="16"/>
  <c r="T553" i="16"/>
  <c r="T554" i="16" s="1"/>
  <c r="T557" i="16" s="1"/>
  <c r="T555" i="16" l="1"/>
  <c r="T558" i="16"/>
  <c r="T559" i="16"/>
  <c r="T379" i="16"/>
  <c r="T370" i="18"/>
  <c r="T371" i="18" s="1"/>
  <c r="U580" i="16"/>
  <c r="U424" i="16"/>
  <c r="U427" i="16" l="1"/>
  <c r="U432" i="16" s="1"/>
  <c r="U429" i="16"/>
  <c r="U433" i="16" l="1"/>
  <c r="U194" i="16" s="1"/>
  <c r="U265" i="16" s="1"/>
  <c r="U193" i="16"/>
  <c r="U434" i="16" l="1"/>
  <c r="U360" i="16"/>
  <c r="U368" i="16" s="1"/>
  <c r="U195" i="16"/>
  <c r="U196" i="16" s="1"/>
  <c r="U197" i="16" l="1"/>
  <c r="U291" i="18" l="1"/>
  <c r="U366" i="18" s="1"/>
  <c r="U281" i="18"/>
  <c r="U360" i="18" s="1"/>
  <c r="U361" i="18" s="1"/>
  <c r="U263" i="16"/>
  <c r="U271" i="16" s="1"/>
  <c r="U495" i="16" s="1"/>
  <c r="U200" i="16"/>
  <c r="U203" i="16" s="1"/>
  <c r="U576" i="16" s="1"/>
  <c r="U577" i="16" s="1"/>
  <c r="U537" i="16"/>
  <c r="U198" i="16"/>
  <c r="U538" i="16" l="1"/>
  <c r="U294" i="18"/>
  <c r="U362" i="18" s="1"/>
  <c r="U363" i="18" s="1"/>
  <c r="U379" i="18"/>
  <c r="U381" i="18" s="1"/>
  <c r="U382" i="18" s="1"/>
  <c r="U543" i="16"/>
  <c r="U500" i="16"/>
  <c r="U501" i="16" s="1"/>
  <c r="U504" i="16" s="1"/>
  <c r="U544" i="16"/>
  <c r="U287" i="16" s="1"/>
  <c r="N380" i="18" l="1"/>
  <c r="M380" i="18"/>
  <c r="L380" i="18"/>
  <c r="U505" i="16"/>
  <c r="U347" i="16" s="1"/>
  <c r="U283" i="16"/>
  <c r="U288" i="16" s="1"/>
  <c r="U291" i="16" s="1"/>
  <c r="U545" i="16"/>
  <c r="U373" i="16" s="1"/>
  <c r="U376" i="16" s="1"/>
  <c r="U550" i="16" l="1"/>
  <c r="U551" i="16" s="1"/>
  <c r="U560" i="16" s="1"/>
  <c r="U584" i="16"/>
  <c r="U482" i="16"/>
  <c r="U484" i="16" s="1"/>
  <c r="U294" i="16"/>
  <c r="U307" i="16" s="1"/>
  <c r="U319" i="16" s="1"/>
  <c r="U334" i="16" s="1"/>
  <c r="U358" i="16"/>
  <c r="U370" i="16" s="1"/>
  <c r="U378" i="16" s="1"/>
  <c r="U370" i="18" s="1"/>
  <c r="U371" i="18" s="1"/>
  <c r="U547" i="16"/>
  <c r="U548" i="16" s="1"/>
  <c r="U556" i="16" l="1"/>
  <c r="N376" i="18" a="1"/>
  <c r="N376" i="18" s="1"/>
  <c r="N382" i="18" s="1"/>
  <c r="N384" i="18" s="1"/>
  <c r="N385" i="18" s="1"/>
  <c r="M376" i="18" a="1"/>
  <c r="M376" i="18" s="1"/>
  <c r="M382" i="18" s="1"/>
  <c r="M384" i="18" s="1"/>
  <c r="M385" i="18" s="1"/>
  <c r="L376" i="18" a="1"/>
  <c r="L376" i="18" s="1"/>
  <c r="L382" i="18" s="1"/>
  <c r="L384" i="18" s="1"/>
  <c r="U553" i="16"/>
  <c r="U554" i="16" s="1"/>
  <c r="U379" i="16"/>
  <c r="L589" i="16" a="1"/>
  <c r="L589" i="16" s="1"/>
  <c r="L595" i="16" s="1"/>
  <c r="L597" i="16" s="1"/>
  <c r="M589" i="16" a="1"/>
  <c r="M589" i="16" s="1"/>
  <c r="M595" i="16" s="1"/>
  <c r="M597" i="16" s="1"/>
  <c r="M598" i="16" s="1"/>
  <c r="N589" i="16" a="1"/>
  <c r="N589" i="16" s="1"/>
  <c r="N595" i="16" s="1"/>
  <c r="N597" i="16" s="1"/>
  <c r="N598" i="16" s="1"/>
  <c r="U555" i="16" l="1"/>
  <c r="U559" i="16"/>
  <c r="U558" i="16"/>
  <c r="U557" i="16"/>
  <c r="L385" i="18"/>
  <c r="P385" i="18" s="1"/>
  <c r="L598" i="16"/>
  <c r="P598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<sst xmlns="http://schemas.openxmlformats.org/spreadsheetml/2006/main" count="1349" uniqueCount="635">
  <si>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</si>
  <si>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</si>
  <si>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</si>
  <si>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</si>
  <si>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</si>
  <si>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</si>
  <si>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</si>
  <si>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</si>
  <si>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</si>
  <si>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</si>
  <si>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Dividend Payout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</si>
  <si>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</si>
  <si>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</si>
  <si>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</si>
  <si>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</si>
  <si>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</si>
  <si>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</si>
  <si>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</si>
  <si>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</si>
  <si>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</si>
  <si>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</si>
  <si>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</si>
  <si>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</si>
  <si>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</si>
  <si>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</si>
  <si>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</si>
  <si>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</si>
  <si>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</si>
  <si>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</si>
  <si>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</si>
  <si>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</si>
  <si>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</si>
  <si>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</si>
  <si>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</si>
  <si>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</si>
  <si>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</si>
  <si>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</si>
  <si>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</si>
  <si>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</si>
  <si>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</si>
  <si>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</si>
  <si>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</si>
  <si>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</si>
  <si>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LATEST VERSION</t>
  </si>
  <si>
    <t>CURRENT VERSION</t>
  </si>
  <si>
    <t>TATA CONSULTANCY SERVICES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</si>
  <si>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</si>
  <si>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</si>
  <si>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</si>
  <si>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</si>
  <si>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</si>
  <si>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</si>
  <si>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</si>
  <si>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</si>
  <si>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</si>
  <si>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</si>
  <si>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</si>
  <si>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</si>
  <si>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</si>
  <si>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</si>
  <si>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</si>
  <si>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</si>
  <si>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</si>
  <si>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</si>
  <si>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</si>
  <si>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</si>
  <si>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</si>
  <si>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</si>
  <si>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</si>
  <si>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</si>
  <si>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EBIT%</t>
  </si>
  <si>
    <t>Income Statement</t>
  </si>
  <si>
    <t>Volume</t>
  </si>
  <si>
    <t>EBITDA</t>
  </si>
  <si>
    <t>EBIT</t>
  </si>
  <si>
    <t>PAT</t>
  </si>
  <si>
    <t>Total Assets</t>
  </si>
  <si>
    <t>Capex</t>
  </si>
  <si>
    <t>FCFF</t>
  </si>
  <si>
    <t>Quarter</t>
  </si>
  <si>
    <t>WACC%</t>
  </si>
  <si>
    <t>Date</t>
  </si>
  <si>
    <t>Reco</t>
  </si>
  <si>
    <t>Revenue</t>
  </si>
  <si>
    <t>Revenue g%</t>
  </si>
  <si>
    <t>Retained Earnings</t>
  </si>
  <si>
    <t>Tax Rate%</t>
  </si>
  <si>
    <t>Equity</t>
  </si>
  <si>
    <t>Other Financial Liabilities</t>
  </si>
  <si>
    <t>Other Non-Current Liabilities</t>
  </si>
  <si>
    <t>Provisions</t>
  </si>
  <si>
    <t>Other Current Liabilities</t>
  </si>
  <si>
    <t>Inventories</t>
  </si>
  <si>
    <t>Bank Balances</t>
  </si>
  <si>
    <t>Other Current Assets</t>
  </si>
  <si>
    <t>Prepaid Expenses</t>
  </si>
  <si>
    <t>Interest Expenses</t>
  </si>
  <si>
    <t>EBT</t>
  </si>
  <si>
    <t>Non-controlling interests</t>
  </si>
  <si>
    <t>Employee benefit obligations</t>
  </si>
  <si>
    <t>Unearned and deferred revenue</t>
  </si>
  <si>
    <t>Trade receivables</t>
  </si>
  <si>
    <t>Loans</t>
  </si>
  <si>
    <t>Income Tax Asset</t>
  </si>
  <si>
    <t>Financial Liabilities</t>
  </si>
  <si>
    <t>Growth</t>
  </si>
  <si>
    <t>Volume g%</t>
  </si>
  <si>
    <t>Enterprise Value</t>
  </si>
  <si>
    <t>Revenue growth%</t>
  </si>
  <si>
    <t>Reinvestment</t>
  </si>
  <si>
    <t>Reinvestment Rate%</t>
  </si>
  <si>
    <t>Other</t>
  </si>
  <si>
    <t>Result Date</t>
  </si>
  <si>
    <t>Ticker</t>
  </si>
  <si>
    <t>RoE%</t>
  </si>
  <si>
    <t>Other Inc.</t>
  </si>
  <si>
    <t>Share Price</t>
  </si>
  <si>
    <t>Second Stage Period</t>
  </si>
  <si>
    <t>Second Stage Growth Rate</t>
  </si>
  <si>
    <t>Terminal Growth Beyond Second Stage</t>
  </si>
  <si>
    <t>Adjusted Terminal Growth Rate</t>
  </si>
  <si>
    <t>Terminal EBIT Margin</t>
  </si>
  <si>
    <t>Terminal After Tax Return on Capital</t>
  </si>
  <si>
    <t>Terminal Reinvestment Rate</t>
  </si>
  <si>
    <t>Industry Sales to Capital</t>
  </si>
  <si>
    <t>Debt Portion</t>
  </si>
  <si>
    <t>Equity Portion</t>
  </si>
  <si>
    <t>Cost of Debt</t>
  </si>
  <si>
    <t>Cost of Equity</t>
  </si>
  <si>
    <t>Fwd. Market Multiple (x)</t>
  </si>
  <si>
    <t>Premium / Discount to Market Multiple</t>
  </si>
  <si>
    <t>Other Adjustment for ESOP &amp; Contingent Liability</t>
  </si>
  <si>
    <t>Tax Rate</t>
  </si>
  <si>
    <t>( ₹ )</t>
  </si>
  <si>
    <t>(₹ crore)</t>
  </si>
  <si>
    <t>ECONOMIC SCENARIOS</t>
  </si>
  <si>
    <t>Base Case</t>
  </si>
  <si>
    <t>Best Case</t>
  </si>
  <si>
    <t>Worst Case</t>
  </si>
  <si>
    <t>Capacity</t>
  </si>
  <si>
    <t>Volume Growth</t>
  </si>
  <si>
    <t>Projected</t>
  </si>
  <si>
    <t>SCENARIO SWITCH:</t>
  </si>
  <si>
    <t>Valuation Scenarios</t>
  </si>
  <si>
    <t>VALUATION SCENARIOS</t>
  </si>
  <si>
    <t>WACC</t>
  </si>
  <si>
    <t>Annual Inputs and Assumptions</t>
  </si>
  <si>
    <t>Exceptional item</t>
  </si>
  <si>
    <t>Cash Flow Statement</t>
  </si>
  <si>
    <t>Other Investing Activities</t>
  </si>
  <si>
    <t>Capital Expenditures</t>
  </si>
  <si>
    <t>Income Tax</t>
  </si>
  <si>
    <t xml:space="preserve">Reduction in EBT </t>
  </si>
  <si>
    <t>(for timing differences)</t>
  </si>
  <si>
    <t>Working Capital Days</t>
  </si>
  <si>
    <t>Accounts Receivable</t>
  </si>
  <si>
    <t>days</t>
  </si>
  <si>
    <t>Accounts Payable</t>
  </si>
  <si>
    <t>Change in Debt &amp; Equity</t>
  </si>
  <si>
    <t>Senior Debt Issuance</t>
  </si>
  <si>
    <t xml:space="preserve"> / (Repayment)</t>
  </si>
  <si>
    <t>Common Stock Issuance</t>
  </si>
  <si>
    <t xml:space="preserve"> / (Buy-back)</t>
  </si>
  <si>
    <t>Standalone Assumptions</t>
  </si>
  <si>
    <t>Terminal Growth</t>
  </si>
  <si>
    <t xml:space="preserve">Discount Rate </t>
  </si>
  <si>
    <t>Variable Cost Per Unit</t>
  </si>
  <si>
    <t>Fixed Cost</t>
  </si>
  <si>
    <t>Interest Rates</t>
  </si>
  <si>
    <t>Interest earned on Investments:</t>
  </si>
  <si>
    <t>Interest rate on Bank Revolver:</t>
  </si>
  <si>
    <t>Interest rate on Senior Secured Term Debt:</t>
  </si>
  <si>
    <t>Years remaining for depreciation of existing assets:</t>
  </si>
  <si>
    <t>Years used for depreciation of new assets:</t>
  </si>
  <si>
    <t>Depreciation Method</t>
  </si>
  <si>
    <t>Stright Line</t>
  </si>
  <si>
    <t xml:space="preserve">Capacity </t>
  </si>
  <si>
    <t>Stock Price</t>
  </si>
  <si>
    <t>No. of outstanding shares in Crores</t>
  </si>
  <si>
    <t>Common Dividend Payout Rate</t>
  </si>
  <si>
    <t>Multiplier</t>
  </si>
  <si>
    <t>Pricing</t>
  </si>
  <si>
    <t>Utilization</t>
  </si>
  <si>
    <t>Net Revenue</t>
  </si>
  <si>
    <t>Annual Revenue Schedule</t>
  </si>
  <si>
    <t>(Units)</t>
  </si>
  <si>
    <t>Capacity Multiplier For Revenue in Cr.</t>
  </si>
  <si>
    <t>Unit of Capacity</t>
  </si>
  <si>
    <t>Capacity Per Unit</t>
  </si>
  <si>
    <t>Segmental Revenue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</si>
  <si>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</si>
  <si>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</si>
  <si>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</si>
  <si>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</si>
  <si>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</si>
  <si>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</si>
  <si>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</si>
  <si>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</si>
  <si>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</si>
  <si>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</si>
  <si>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Geography Revenue</t>
  </si>
  <si>
    <t>Geography1</t>
  </si>
  <si>
    <t>Geography2</t>
  </si>
  <si>
    <t>Geography3</t>
  </si>
  <si>
    <t>Geography4</t>
  </si>
  <si>
    <t>Geography5</t>
  </si>
  <si>
    <t>Geography6</t>
  </si>
  <si>
    <t>Geography7</t>
  </si>
  <si>
    <t>Geography8</t>
  </si>
  <si>
    <t>Revenue / Unit</t>
  </si>
  <si>
    <t>Quarterly Revenue Hisotry</t>
  </si>
  <si>
    <t>Annual Revenue History</t>
  </si>
  <si>
    <t>Price Growth</t>
  </si>
  <si>
    <t>Revenue Growth</t>
  </si>
  <si>
    <t>Annual Cost History</t>
  </si>
  <si>
    <t>Variable Cost Iteam 4</t>
  </si>
  <si>
    <t>Other Variable Cost</t>
  </si>
  <si>
    <t>Fixed Cost Iteam 2</t>
  </si>
  <si>
    <t>Fixed Cost Iteam 3</t>
  </si>
  <si>
    <t>Other Fixed Cost</t>
  </si>
  <si>
    <t>Total Cost</t>
  </si>
  <si>
    <t xml:space="preserve">Variable Cost </t>
  </si>
  <si>
    <t>Total Variable Cost Per Unit</t>
  </si>
  <si>
    <t>Total Variable Cost</t>
  </si>
  <si>
    <t>Total Fixed Cost</t>
  </si>
  <si>
    <t>Cost Growth</t>
  </si>
  <si>
    <t>Total Fixed Cost Per Unit</t>
  </si>
  <si>
    <t>Raw Material</t>
  </si>
  <si>
    <t>Selling and Admin</t>
  </si>
  <si>
    <t>Net Variable Cost Per Unit Growth Rate</t>
  </si>
  <si>
    <t>Quarterly Cost Hisotry</t>
  </si>
  <si>
    <t>Interest Expense</t>
  </si>
  <si>
    <t>Total Costs</t>
  </si>
  <si>
    <t>Operating Profit Margin%</t>
  </si>
  <si>
    <t>EBIT Margin%</t>
  </si>
  <si>
    <t>Current Income Taxes</t>
  </si>
  <si>
    <t>Deferred Income Taxes</t>
  </si>
  <si>
    <t>Total Income Taxes</t>
  </si>
  <si>
    <t>Net Income</t>
  </si>
  <si>
    <t>Total comprehensive income</t>
  </si>
  <si>
    <t>Wt. Avg. Shares</t>
  </si>
  <si>
    <t>Market Cap</t>
  </si>
  <si>
    <t>TTM PE</t>
  </si>
  <si>
    <t>TTM EPS</t>
  </si>
  <si>
    <t>PAT Margin%</t>
  </si>
  <si>
    <t>Annual Cash Flow</t>
  </si>
  <si>
    <t>Operating Activities</t>
  </si>
  <si>
    <t>Depreciation &amp; Amortization</t>
  </si>
  <si>
    <t>Deferred Taxes net of refund</t>
  </si>
  <si>
    <t>Financing Cost</t>
  </si>
  <si>
    <t>Interest and Dividend Income</t>
  </si>
  <si>
    <t>Net gain on disposal of property</t>
  </si>
  <si>
    <t>Other Gain (FX or Lease Modification)</t>
  </si>
  <si>
    <t>Changes in working capital</t>
  </si>
  <si>
    <t>Operating Cash Flow</t>
  </si>
  <si>
    <t>Investing Activities</t>
  </si>
  <si>
    <t>CAPEX (PP&amp;E, right, intangible)</t>
  </si>
  <si>
    <t>Purchase of Investment</t>
  </si>
  <si>
    <t>Investing Cash Flow</t>
  </si>
  <si>
    <t>Financing Activities</t>
  </si>
  <si>
    <t>Revolver Issuance / (Repayment)</t>
  </si>
  <si>
    <t>Term Debt Issuance / (Repayment)</t>
  </si>
  <si>
    <t>Common Shares Issuance/ (Buy-Back)</t>
  </si>
  <si>
    <t>Common Dividends</t>
  </si>
  <si>
    <t>Financing Cash Flow</t>
  </si>
  <si>
    <t>Change in the Cash Position</t>
  </si>
  <si>
    <t>Beginning Cash</t>
  </si>
  <si>
    <t>Exchange difference on translation</t>
  </si>
  <si>
    <t>Ending Cash</t>
  </si>
  <si>
    <t>ASSETS</t>
  </si>
  <si>
    <t>Cash</t>
  </si>
  <si>
    <t>Investments &amp; Cash Equivalents</t>
  </si>
  <si>
    <t>Other Financial Assets</t>
  </si>
  <si>
    <t>Total Current Assets</t>
  </si>
  <si>
    <t>Total Net PP&amp;E</t>
  </si>
  <si>
    <t>Net PP&amp;E</t>
  </si>
  <si>
    <t>Capital work-in-progress</t>
  </si>
  <si>
    <t>Right-of-use assets</t>
  </si>
  <si>
    <t>Investments &amp; Other</t>
  </si>
  <si>
    <t>Goodwill &amp; intangible</t>
  </si>
  <si>
    <t>Deferred tax assets</t>
  </si>
  <si>
    <t>Income tax assets</t>
  </si>
  <si>
    <t>Total Long Term Assets</t>
  </si>
  <si>
    <t>Revolver/Borrowings</t>
  </si>
  <si>
    <t>Lease liabilities</t>
  </si>
  <si>
    <t>Income tax liabilities</t>
  </si>
  <si>
    <t>Total Current Liabilities</t>
  </si>
  <si>
    <t>Senior Secured Term Debt</t>
  </si>
  <si>
    <t>Total Long Term Liabilities</t>
  </si>
  <si>
    <t>Total Liabilities</t>
  </si>
  <si>
    <t>Common Shares</t>
  </si>
  <si>
    <t>Other equity</t>
  </si>
  <si>
    <t>Shareholder's Equity</t>
  </si>
  <si>
    <t>Total Liabilities and Equity</t>
  </si>
  <si>
    <t>Check</t>
  </si>
  <si>
    <t>Annual Balance Sheet (Liabilities &amp; Equity)</t>
  </si>
  <si>
    <t>Annual Balance Sheet (Assets)</t>
  </si>
  <si>
    <t>Price &amp; Cost Inflation</t>
  </si>
  <si>
    <t>Aggregate Fixed Cost Growth Rate</t>
  </si>
  <si>
    <t>Aggregate Fixed Cost</t>
  </si>
  <si>
    <t>10 Yrs Inflation</t>
  </si>
  <si>
    <t>5 Yrs Inflation</t>
  </si>
  <si>
    <t>2 Yrs Inflation</t>
  </si>
  <si>
    <t>2Yr Inflation Variable Cost Per Unit</t>
  </si>
  <si>
    <t>2Yr Inflation Aggregate Fixed Cost</t>
  </si>
  <si>
    <t>Annual Revenue Forecast</t>
  </si>
  <si>
    <t>Quarterly Revenue Forecast</t>
  </si>
  <si>
    <t>Annual Cost Forecast</t>
  </si>
  <si>
    <t>Quarterly Cost Forecast</t>
  </si>
  <si>
    <t>Future Price &amp; Cost Infation</t>
  </si>
  <si>
    <t>Quarterly Prfot &amp; Loss Forecast</t>
  </si>
  <si>
    <t>Annual Capex &amp; Profitability &amp; Tax Rate</t>
  </si>
  <si>
    <t>Tax rate%</t>
  </si>
  <si>
    <t>EBIT (1 - Tax rate%)</t>
  </si>
  <si>
    <t>(EBIT -Other Inc.) (1 - Tax rate%)</t>
  </si>
  <si>
    <t xml:space="preserve">Net PP&amp;E </t>
  </si>
  <si>
    <t>Depreciation &amp; Impairment</t>
  </si>
  <si>
    <t>Change in Working Capital</t>
  </si>
  <si>
    <t>Capital</t>
  </si>
  <si>
    <t>Avg. Capital</t>
  </si>
  <si>
    <t>Avg. Equity</t>
  </si>
  <si>
    <t>Reinvestment Rate</t>
  </si>
  <si>
    <t>Capex to Revenue</t>
  </si>
  <si>
    <t>Sales to Capital</t>
  </si>
  <si>
    <t>Years used for depreciation of new assets</t>
  </si>
  <si>
    <t>Capital Turnover</t>
  </si>
  <si>
    <t>After Tax ROC</t>
  </si>
  <si>
    <t>After Tax ROC (Ex Other Inc.)</t>
  </si>
  <si>
    <t>Deferred Taxes / Total Tax</t>
  </si>
  <si>
    <t>Annual Working Capital</t>
  </si>
  <si>
    <t>Days per Year</t>
  </si>
  <si>
    <t>(days)</t>
  </si>
  <si>
    <t>Income Statement Items</t>
  </si>
  <si>
    <t>Cost of Sales</t>
  </si>
  <si>
    <t>Days In</t>
  </si>
  <si>
    <t>Account Balances</t>
  </si>
  <si>
    <t>Net Working Capital</t>
  </si>
  <si>
    <t>Annual Interest Income &amp; Expense</t>
  </si>
  <si>
    <t>Current Inc. generating Asset</t>
  </si>
  <si>
    <t>Other Non Cash Asset</t>
  </si>
  <si>
    <t>Long Term Inc. generating Asset</t>
  </si>
  <si>
    <t>Total Inc. generating Assets</t>
  </si>
  <si>
    <t>Avg. Inc. generating Assets</t>
  </si>
  <si>
    <t>Interest Rate%</t>
  </si>
  <si>
    <t>Short Term Borrowings</t>
  </si>
  <si>
    <t>Long Term Borrowings</t>
  </si>
  <si>
    <t>Total Borrowings</t>
  </si>
  <si>
    <t>Avg. Borrowings</t>
  </si>
  <si>
    <t>Debt to Equity</t>
  </si>
  <si>
    <t>Debt to Capital</t>
  </si>
  <si>
    <t>Net Inc.</t>
  </si>
  <si>
    <t>Share Buyback</t>
  </si>
  <si>
    <t>Payout Ratio</t>
  </si>
  <si>
    <t>Annual Valuation</t>
  </si>
  <si>
    <t>Market cap</t>
  </si>
  <si>
    <t>Dividends + Share Buy Back</t>
  </si>
  <si>
    <t>Dividends</t>
  </si>
  <si>
    <t>Book Value</t>
  </si>
  <si>
    <t>Total Debt</t>
  </si>
  <si>
    <t>Cash + Investments</t>
  </si>
  <si>
    <t>Dividend +Buyback Yield</t>
  </si>
  <si>
    <t>Dividend Yield</t>
  </si>
  <si>
    <t>Price to Book Value</t>
  </si>
  <si>
    <t>EV / Sales</t>
  </si>
  <si>
    <t>EV / EBIT</t>
  </si>
  <si>
    <t>EV / EBITDA</t>
  </si>
  <si>
    <t>Price to Earnings</t>
  </si>
  <si>
    <t>Implied Forward PE</t>
  </si>
  <si>
    <t>EPS (Diluted)</t>
  </si>
  <si>
    <t>Risk Free Rate</t>
  </si>
  <si>
    <t>(10-Year G-Sec yield)</t>
  </si>
  <si>
    <t>NIFTY 10 Yr Return</t>
  </si>
  <si>
    <t>(Inhouse Calculation)</t>
  </si>
  <si>
    <t>ERP</t>
  </si>
  <si>
    <t>Beta</t>
  </si>
  <si>
    <t xml:space="preserve">Update Beta </t>
  </si>
  <si>
    <t xml:space="preserve">Materiality Threshold </t>
  </si>
  <si>
    <t>Total Tax</t>
  </si>
  <si>
    <t>Fixed Cost Per Unit</t>
  </si>
  <si>
    <t>PRICE INFLATION</t>
  </si>
  <si>
    <t>COST INFLATION</t>
  </si>
  <si>
    <t>CAPEX HISTORY</t>
  </si>
  <si>
    <t>INCOME TAX HISTORY</t>
  </si>
  <si>
    <t>WORKING CAPITAL HISTORY</t>
  </si>
  <si>
    <t>OTHER INCOME</t>
  </si>
  <si>
    <t>BORROWING &amp; INTEREST EXPENSES</t>
  </si>
  <si>
    <t>DIVIDENDS &amp; BUY BACK HISTORY</t>
  </si>
  <si>
    <t>VALUATION HISTORY</t>
  </si>
  <si>
    <t>Short Name</t>
  </si>
  <si>
    <t>FIN Years</t>
  </si>
  <si>
    <t>Exchange Rate</t>
  </si>
  <si>
    <t>Quarterly Economic and Sales Scenarios</t>
  </si>
  <si>
    <t>Annaul Economic and Sales Scenarios</t>
  </si>
  <si>
    <t>Fixed Cost Inflation</t>
  </si>
  <si>
    <t>Inflation</t>
  </si>
  <si>
    <t>Variable Cost  Inflation</t>
  </si>
  <si>
    <t>(Sensitive to Row Material)</t>
  </si>
  <si>
    <t>(New Service/Product)</t>
  </si>
  <si>
    <t>Cost Per Unit</t>
  </si>
  <si>
    <t>Annual Cost Inflation</t>
  </si>
  <si>
    <t>Inflation Y1</t>
  </si>
  <si>
    <t>Inflation Y2</t>
  </si>
  <si>
    <t>Price Inflation</t>
  </si>
  <si>
    <t>Annual Aggregate Cost Schedule</t>
  </si>
  <si>
    <t>Annual Cost Per Unit Schedule</t>
  </si>
  <si>
    <t>Quarterly Cost Schedule</t>
  </si>
  <si>
    <t>Quarterly Revenue Schedule</t>
  </si>
  <si>
    <t>Annual Income Statement</t>
  </si>
  <si>
    <t>Quarterly Income Statement</t>
  </si>
  <si>
    <t>Cost g%</t>
  </si>
  <si>
    <t>(crore)</t>
  </si>
  <si>
    <t>Annual Cash Flow Statement</t>
  </si>
  <si>
    <t>Depreciation Schedule</t>
  </si>
  <si>
    <t>Years Remaining</t>
  </si>
  <si>
    <t>Existing Assets:</t>
  </si>
  <si>
    <t xml:space="preserve">Depreciation Years on </t>
  </si>
  <si>
    <t>New Assets:</t>
  </si>
  <si>
    <t>Depreciation to Existing Assets</t>
  </si>
  <si>
    <t>CAPEX</t>
  </si>
  <si>
    <t>Total Depreciation</t>
  </si>
  <si>
    <t>Income Tax Schedule</t>
  </si>
  <si>
    <t>Accounting EBT (as is on I/S)</t>
  </si>
  <si>
    <t>A</t>
  </si>
  <si>
    <t>Less: Reduction in EBT for timing differences (1)</t>
  </si>
  <si>
    <t>B</t>
  </si>
  <si>
    <t>Accounting Taxes (on A)</t>
  </si>
  <si>
    <t>Taxes as Appearing on Income Statement</t>
  </si>
  <si>
    <t>Current Tax (on B)</t>
  </si>
  <si>
    <t>Increase (Decrease) in Deferred Income Taxes</t>
  </si>
  <si>
    <t>Total Income Taxes (Same as Accounting Taxes Above)</t>
  </si>
  <si>
    <t>Working Capital Schedule</t>
  </si>
  <si>
    <t>Interest Income &amp; Interest Expense Schedule</t>
  </si>
  <si>
    <t>Amount Outstanding - Beginning</t>
  </si>
  <si>
    <t>Change in Cash</t>
  </si>
  <si>
    <t>Amount Outstanding - Ending</t>
  </si>
  <si>
    <t>Current Investments</t>
  </si>
  <si>
    <t>Long Term Investments</t>
  </si>
  <si>
    <t>Total Int. generating Assets</t>
  </si>
  <si>
    <t>Avg. Int. generating Assets</t>
  </si>
  <si>
    <t>Annual Interest Income</t>
  </si>
  <si>
    <t>Revolver</t>
  </si>
  <si>
    <t>Mandatory Debt Repayments</t>
  </si>
  <si>
    <t>Common Stock Issuance / (Buy-back)</t>
  </si>
  <si>
    <t>FCF After Mandatory Debt Repayment and Dividend</t>
  </si>
  <si>
    <t>Revolver Outstanding - Beginning</t>
  </si>
  <si>
    <t>Additions / (Repayments)</t>
  </si>
  <si>
    <t>Revolver Outstanding - Ending</t>
  </si>
  <si>
    <t>Net Interest Expense</t>
  </si>
  <si>
    <t>Govt. EBT / Taxable Income</t>
  </si>
  <si>
    <t>Shareholders' Equity Schedule</t>
  </si>
  <si>
    <t>New Issuance / (Buy-Back)</t>
  </si>
  <si>
    <t>Shares Outstanding</t>
  </si>
  <si>
    <t>Dividend Payout Rate</t>
  </si>
  <si>
    <t>Common Dividend</t>
  </si>
  <si>
    <t>Total Equity</t>
  </si>
  <si>
    <t>Total Capital</t>
  </si>
  <si>
    <t>Amount Outstanding Cash - Beginning</t>
  </si>
  <si>
    <t>Amount Outstanding Cash - Ending</t>
  </si>
  <si>
    <t>Cash &amp; Investments</t>
  </si>
  <si>
    <t>Annual Revolver Interest Expense</t>
  </si>
  <si>
    <t>Annual Term Debt Interest Expense</t>
  </si>
  <si>
    <t>EPS growth%</t>
  </si>
  <si>
    <t>After Tax Operating Profit</t>
  </si>
  <si>
    <t>Free Cash Flow to the Firm</t>
  </si>
  <si>
    <t>No. of Years</t>
  </si>
  <si>
    <t>Discount Rate (WACC%)</t>
  </si>
  <si>
    <t>Free Cash Flow to Firm</t>
  </si>
  <si>
    <t>Sum of PV of FCFF</t>
  </si>
  <si>
    <t>Non Operating Investments</t>
  </si>
  <si>
    <t>Minority holdings / (Minority Interests)</t>
  </si>
  <si>
    <t>Debt &amp; Employee options</t>
  </si>
  <si>
    <t>Terminal Value</t>
  </si>
  <si>
    <t>Other Adjustments</t>
  </si>
  <si>
    <t>Fair Market Cap</t>
  </si>
  <si>
    <t>Shares Outstanding (Cr)</t>
  </si>
  <si>
    <t>Intrinsic Target Price</t>
  </si>
  <si>
    <t>Upside/Downside</t>
  </si>
  <si>
    <t xml:space="preserve">Terminal Rev. </t>
  </si>
  <si>
    <t>Terminal EBIT</t>
  </si>
  <si>
    <t>Next Year FCFF</t>
  </si>
  <si>
    <t>Fwd. Market Multiple</t>
  </si>
  <si>
    <t>Premium/Discount to Market Multiple</t>
  </si>
  <si>
    <t>Fwd. Multiple</t>
  </si>
  <si>
    <t>Relative Target Price</t>
  </si>
  <si>
    <t>Aggregate Cost</t>
  </si>
  <si>
    <t>Interest rate on Bank Revolver</t>
  </si>
  <si>
    <t>Interest rate on Senior Secured Term Debt</t>
  </si>
  <si>
    <t>Interest earned on Investments</t>
  </si>
  <si>
    <t>Spread on Interest Rate</t>
  </si>
  <si>
    <t>Valuation</t>
  </si>
  <si>
    <t>Guidance</t>
  </si>
  <si>
    <t>Magic Number &amp; Critical Factors</t>
  </si>
  <si>
    <t>Revenue.</t>
  </si>
  <si>
    <t>Magic Numbers</t>
  </si>
  <si>
    <t>Min. Rev. Change</t>
  </si>
  <si>
    <t>Min. Price Change</t>
  </si>
  <si>
    <t>Min. Savings in Expenses</t>
  </si>
  <si>
    <t>Min. Rev. Growth</t>
  </si>
  <si>
    <t>Min. Savings in Expenses (%)</t>
  </si>
  <si>
    <t>Assumptions</t>
  </si>
  <si>
    <t>Annual Other Information Forecast</t>
  </si>
  <si>
    <t>Quarterly Other Information Forecast</t>
  </si>
  <si>
    <t>Annual Other Information History</t>
  </si>
  <si>
    <t>Quarterly Other Information History</t>
  </si>
  <si>
    <t>Interest Income</t>
  </si>
  <si>
    <t>Net Interest Income</t>
  </si>
  <si>
    <t>Deposits</t>
  </si>
  <si>
    <t>Loans / AUM</t>
  </si>
  <si>
    <t>Deposits Growth</t>
  </si>
  <si>
    <t>Loan/AUM Growth</t>
  </si>
  <si>
    <t>Net Interest Margin</t>
  </si>
  <si>
    <t>Total Income</t>
  </si>
  <si>
    <t>Pre Provision Profit</t>
  </si>
  <si>
    <t>Provision</t>
  </si>
  <si>
    <t>Profit before Tax</t>
  </si>
  <si>
    <t>Standalone Profit</t>
  </si>
  <si>
    <t>Subsidiary Profit</t>
  </si>
  <si>
    <t>Subsidiary 1</t>
  </si>
  <si>
    <t>Subsidiary 2</t>
  </si>
  <si>
    <t>Subsidiary 3</t>
  </si>
  <si>
    <t>Subsidiary 4</t>
  </si>
  <si>
    <t>Subsidiary 5</t>
  </si>
  <si>
    <t>Subsidiary 6</t>
  </si>
  <si>
    <t>Consolidated Profit</t>
  </si>
  <si>
    <t>Annual Income Expense History</t>
  </si>
  <si>
    <t>Annual Income Expense Forecast</t>
  </si>
  <si>
    <t>Net Disbursment</t>
  </si>
  <si>
    <t>NII/Loans or AUM</t>
  </si>
  <si>
    <t>GNPA</t>
  </si>
  <si>
    <t>NNPA</t>
  </si>
  <si>
    <t>GNPA%</t>
  </si>
  <si>
    <t>NNPA%</t>
  </si>
  <si>
    <t>Slippages%</t>
  </si>
  <si>
    <t>Slippages</t>
  </si>
  <si>
    <t>PCR (calc)%</t>
  </si>
  <si>
    <t>Cost to Core Income%</t>
  </si>
  <si>
    <t>CASA (Reported)%</t>
  </si>
  <si>
    <t>RoA%</t>
  </si>
  <si>
    <t>Branches</t>
  </si>
  <si>
    <t>ATM</t>
  </si>
  <si>
    <t>Employee</t>
  </si>
  <si>
    <t>CAR (Tier-1)</t>
  </si>
  <si>
    <t>Annual Loan Distribution History</t>
  </si>
  <si>
    <t>Annual Loan Distribution Forecast</t>
  </si>
  <si>
    <t>Personal Loans</t>
  </si>
  <si>
    <t xml:space="preserve">Credit Card / Payment Products </t>
  </si>
  <si>
    <t>Gold Loans</t>
  </si>
  <si>
    <t>Loan against Property</t>
  </si>
  <si>
    <t>Commercial Transportation</t>
  </si>
  <si>
    <t>Emerging Corporates</t>
  </si>
  <si>
    <t>Corporate and other wholesale</t>
  </si>
  <si>
    <t>Home Loan / Mortgage</t>
  </si>
  <si>
    <t>Auto / Vehicle Loan</t>
  </si>
  <si>
    <t>Other Secured Retail</t>
  </si>
  <si>
    <t>Other Unsecured Retail</t>
  </si>
  <si>
    <t>Agri Loan</t>
  </si>
  <si>
    <t>Microfinance</t>
  </si>
  <si>
    <t>Business Banking / SME Business</t>
  </si>
  <si>
    <t xml:space="preserve">Other Non-Retail </t>
  </si>
  <si>
    <t>Total Loans / AUM</t>
  </si>
  <si>
    <t>Home Loan / Mortgage / LAP</t>
  </si>
  <si>
    <t>Total Retail</t>
  </si>
  <si>
    <t>Contribution</t>
  </si>
  <si>
    <t>Annual Banking History</t>
  </si>
  <si>
    <t>Annual Banking Forecast</t>
  </si>
  <si>
    <t>Quarterly Income Expense History</t>
  </si>
  <si>
    <t>Quarterly Income Expense Forecast</t>
  </si>
  <si>
    <t>Corporate Total</t>
  </si>
  <si>
    <t>Quarterly Banking History</t>
  </si>
  <si>
    <t>Quarterly Banking Forecast</t>
  </si>
  <si>
    <t>Quarterly Loan Distribution History</t>
  </si>
  <si>
    <t>Quarterly Loan Distribution Forecast</t>
  </si>
  <si>
    <t>Free Cash Flow to Equity</t>
  </si>
  <si>
    <t>Total Inc. growth%</t>
  </si>
  <si>
    <t>Profit Margin%</t>
  </si>
  <si>
    <t>TTM PB</t>
  </si>
  <si>
    <t>Discount Rate (COE%)</t>
  </si>
  <si>
    <t>Terminal Profit</t>
  </si>
  <si>
    <t>Terminal After Tax Return on Equity</t>
  </si>
  <si>
    <t>Regulatory Capital</t>
  </si>
  <si>
    <t>Requied CAR Ratio</t>
  </si>
  <si>
    <t>Last Update</t>
  </si>
  <si>
    <t>Sum of PV of FCFE</t>
  </si>
  <si>
    <t>Book Value Per Share</t>
  </si>
  <si>
    <t>TTM Price to Book Value</t>
  </si>
  <si>
    <t>Is Financial</t>
  </si>
  <si>
    <t>No</t>
  </si>
  <si>
    <t>Mcap(Cr)</t>
  </si>
  <si>
    <t>Rev.</t>
  </si>
  <si>
    <t>Profit</t>
  </si>
  <si>
    <t>Lead Analyst</t>
  </si>
  <si>
    <t>Bond Ratings</t>
  </si>
  <si>
    <t>AAA</t>
  </si>
  <si>
    <t>Interest Rates Guidance</t>
  </si>
  <si>
    <t>Stock Type</t>
  </si>
  <si>
    <t>Quality compounder</t>
  </si>
  <si>
    <t>Analysts Expecations</t>
  </si>
  <si>
    <t>Concensus Expecations</t>
  </si>
  <si>
    <t>Rev.(Max)</t>
  </si>
  <si>
    <t>Rev.(Min)</t>
  </si>
  <si>
    <t>TP</t>
  </si>
  <si>
    <t>EPS(Max)</t>
  </si>
  <si>
    <t>EPS(Min)</t>
  </si>
  <si>
    <t>EPS(Avg)</t>
  </si>
  <si>
    <t>Rev.(Avg)</t>
  </si>
  <si>
    <t>TP(Max)</t>
  </si>
  <si>
    <t>TP(Min)</t>
  </si>
  <si>
    <t>TP(Avg)</t>
  </si>
  <si>
    <t>FIN Yr</t>
  </si>
  <si>
    <t>Type</t>
  </si>
  <si>
    <t>#Count</t>
  </si>
  <si>
    <t>Firm</t>
  </si>
  <si>
    <t>(₹/Unit)</t>
  </si>
  <si>
    <t>Total Cost Per Unit</t>
  </si>
  <si>
    <t>LIABILITIES &amp; EQUITY</t>
  </si>
  <si>
    <t>Exchange Rate (To Cr)</t>
  </si>
  <si>
    <t>Critical Factors &amp; Catalysts</t>
  </si>
  <si>
    <t>Fwd PE</t>
  </si>
  <si>
    <t>A1</t>
  </si>
  <si>
    <t>A2</t>
  </si>
  <si>
    <t>A3</t>
  </si>
  <si>
    <t>EBIT% (Ex-OpInc)</t>
  </si>
  <si>
    <t>NIM%</t>
  </si>
  <si>
    <t>(INR/INR)</t>
  </si>
  <si>
    <t>Equity Research Report</t>
  </si>
  <si>
    <t>https://sudhirkulaye.com</t>
  </si>
  <si>
    <t>Author:</t>
  </si>
  <si>
    <t>Sudhir Kulaye, CFA</t>
  </si>
  <si>
    <t>Target Price</t>
  </si>
  <si>
    <t>EPS Growth</t>
  </si>
  <si>
    <t>Avg. Up</t>
  </si>
  <si>
    <t>Min Up</t>
  </si>
  <si>
    <t>Max Up</t>
  </si>
  <si>
    <t>(Ex-Other Inc.) EBIT Margin%</t>
  </si>
  <si>
    <t>(Ex-Other Inc.) Op. Profit 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</si>
</sst>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4" formatCode="_(* #,##0.00_);_(* \(#,##0.00\);_(* &quot;-&quot;??_);_(@_)"/>
    <numFmt numFmtId="165" formatCode="[$-409]mmm\-yy;@"/>
    <numFmt numFmtId="166" formatCode="0.0%"/>
    <numFmt numFmtId="167" formatCode="0\ &quot;Years&quot;_)"/>
    <numFmt numFmtId="168" formatCode="_(* 0.0%_);_(* \-0.0%_);_(* &quot;-&quot;??_);_(@_)"/>
    <numFmt numFmtId="169" formatCode="_(* #,##0.0_);_(* \(#,##0.0\);_(* &quot;-&quot;??_);_(@_)"/>
    <numFmt numFmtId="170" formatCode="_(* @_)"/>
    <numFmt numFmtId="171" formatCode="_(* #,##0_);_(* \(#,##0\);_(* &quot;-&quot;??_);_(@_)"/>
    <numFmt numFmtId="172" formatCode="0.0%_);\-0.0%;\-;"/>
    <numFmt numFmtId="173" formatCode="&quot;₹&quot;#,##0_);\(&quot;₹&quot;#,##0\);\-;@"/>
    <numFmt numFmtId="174" formatCode="\(0,000\)"/>
    <numFmt numFmtId="175" formatCode="_(* &quot;₹&quot;#,##0_);_(* &quot;₹&quot;\(#,##0\);_(* &quot;₹&quot;&quot;-&quot;_);_(@_)"/>
    <numFmt numFmtId="176" formatCode="_(* #,##0.000_);_(* \(#,##0.000\);_(* &quot;-&quot;??_);_(@_)"/>
    <numFmt numFmtId="177" formatCode="_(* 0.00%_);_(* \-0.00%_);_(* &quot;-&quot;??_);_(@_)"/>
    <numFmt numFmtId="178" formatCode="_(* 0%_);_(* \-0%_);_(* &quot;-&quot;??_);_(@_)"/>
    <numFmt numFmtId="179" formatCode="_(* &quot;₹&quot;#,##0_);_(* &quot;₹&quot;\(#,##0\);_(* &quot;₹&quot;&quot;-&quot;?_);_(@_)"/>
    <numFmt numFmtId="180" formatCode="_(* yyyy/mm/dd_);_(* \(yyyy/mm/dd\);_(* &quot;-&quot;_);_(@_)"/>
    <numFmt numFmtId="181" formatCode="mmmm\ d\,\ yyyy"/>
    <numFmt numFmtId="182" formatCode="[$-14009]yyyy/mm/dd;@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4"/>
      <name val="Arial"/>
      <family val="2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rgb="FF0000FF"/>
      <name val="Arial"/>
      <family val="2"/>
    </font>
    <font>
      <u/>
      <sz val="14"/>
      <color theme="10"/>
      <name val="Arial"/>
      <family val="2"/>
    </font>
    <font>
      <b/>
      <sz val="28"/>
      <color rgb="FF0000FF"/>
      <name val="Arial"/>
      <family val="2"/>
    </font>
    <font>
      <b/>
      <sz val="16"/>
      <color rgb="FF0000FF"/>
      <name val="Arial"/>
      <family val="2"/>
    </font>
    <font>
      <sz val="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C739"/>
        <bgColor indexed="64"/>
      </patternFill>
    </fill>
    <fill>
      <patternFill patternType="solid">
        <fgColor rgb="FF085DA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C739"/>
        <bgColor rgb="FF92D050"/>
      </patternFill>
    </fill>
    <fill>
      <patternFill patternType="solid">
        <fgColor rgb="FF085DAD"/>
        <bgColor rgb="FF002060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thick">
        <color rgb="FF085DAD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19" fillId="0" borderId="0"/>
    <xf numFmtId="0" fontId="38" fillId="0" borderId="0"/>
    <xf numFmtId="0" fontId="21" fillId="0" borderId="0"/>
  </cellStyleXfs>
  <cellXfs count="252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8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8" fillId="0" borderId="0" xfId="0" applyFont="1"/>
    <xf numFmtId="0" fontId="0" fillId="4" borderId="0" xfId="0" applyFill="1"/>
    <xf numFmtId="0" fontId="0" fillId="6" borderId="0" xfId="0" applyFill="1"/>
    <xf numFmtId="169" fontId="14" fillId="0" borderId="0" xfId="0" applyNumberFormat="1" applyFont="1"/>
    <xf numFmtId="0" fontId="0" fillId="0" borderId="0" xfId="0" quotePrefix="1"/>
    <xf numFmtId="0" fontId="15" fillId="0" borderId="0" xfId="0" applyFont="1" applyAlignment="1">
      <alignment horizontal="center"/>
    </xf>
    <xf numFmtId="170" fontId="0" fillId="0" borderId="0" xfId="0" applyNumberFormat="1"/>
    <xf numFmtId="0" fontId="14" fillId="0" borderId="0" xfId="0" applyFont="1"/>
    <xf numFmtId="0" fontId="16" fillId="0" borderId="0" xfId="0" applyFont="1"/>
    <xf numFmtId="0" fontId="17" fillId="0" borderId="0" xfId="0" applyFont="1" applyAlignment="1">
      <alignment horizontal="right"/>
    </xf>
    <xf numFmtId="168" fontId="14" fillId="0" borderId="0" xfId="0" applyNumberFormat="1" applyFont="1"/>
    <xf numFmtId="168" fontId="14" fillId="4" borderId="0" xfId="0" applyNumberFormat="1" applyFont="1" applyFill="1"/>
    <xf numFmtId="0" fontId="18" fillId="0" borderId="0" xfId="0" applyFont="1"/>
    <xf numFmtId="168" fontId="0" fillId="0" borderId="0" xfId="0" applyNumberFormat="1"/>
    <xf numFmtId="168" fontId="0" fillId="0" borderId="3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0" fontId="20" fillId="0" borderId="0" xfId="4" quotePrefix="1" applyFont="1" applyAlignment="1">
      <alignment horizontal="left"/>
    </xf>
    <xf numFmtId="0" fontId="21" fillId="0" borderId="0" xfId="4" applyFont="1"/>
    <xf numFmtId="0" fontId="22" fillId="0" borderId="0" xfId="4" applyFont="1" applyAlignment="1">
      <alignment horizontal="center"/>
    </xf>
    <xf numFmtId="166" fontId="23" fillId="0" borderId="0" xfId="0" applyNumberFormat="1" applyFont="1"/>
    <xf numFmtId="166" fontId="21" fillId="0" borderId="0" xfId="0" applyNumberFormat="1" applyFont="1"/>
    <xf numFmtId="172" fontId="21" fillId="0" borderId="0" xfId="0" applyNumberFormat="1" applyFont="1"/>
    <xf numFmtId="172" fontId="21" fillId="0" borderId="0" xfId="4" applyNumberFormat="1" applyFont="1"/>
    <xf numFmtId="171" fontId="0" fillId="0" borderId="3" xfId="0" applyNumberFormat="1" applyBorder="1"/>
    <xf numFmtId="171" fontId="0" fillId="0" borderId="4" xfId="0" applyNumberFormat="1" applyBorder="1"/>
    <xf numFmtId="171" fontId="0" fillId="0" borderId="5" xfId="0" applyNumberFormat="1" applyBorder="1"/>
    <xf numFmtId="171" fontId="14" fillId="0" borderId="0" xfId="0" applyNumberFormat="1" applyFont="1"/>
    <xf numFmtId="171" fontId="0" fillId="0" borderId="0" xfId="0" applyNumberFormat="1"/>
    <xf numFmtId="0" fontId="0" fillId="0" borderId="14" xfId="0" applyBorder="1"/>
    <xf numFmtId="0" fontId="9" fillId="0" borderId="15" xfId="0" applyFont="1" applyBorder="1" applyAlignment="1">
      <alignment horizontal="centerContinuous"/>
    </xf>
    <xf numFmtId="0" fontId="13" fillId="5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center"/>
    </xf>
    <xf numFmtId="0" fontId="25" fillId="0" borderId="0" xfId="0" applyFont="1" applyAlignment="1">
      <alignment horizontal="centerContinuous"/>
    </xf>
    <xf numFmtId="0" fontId="26" fillId="0" borderId="0" xfId="0" applyFont="1" applyAlignment="1">
      <alignment horizontal="centerContinuous"/>
    </xf>
    <xf numFmtId="0" fontId="24" fillId="0" borderId="14" xfId="0" applyFont="1" applyBorder="1" applyAlignment="1">
      <alignment horizontal="centerContinuous"/>
    </xf>
    <xf numFmtId="0" fontId="25" fillId="0" borderId="14" xfId="0" applyFont="1" applyBorder="1" applyAlignment="1">
      <alignment horizontal="centerContinuous"/>
    </xf>
    <xf numFmtId="0" fontId="26" fillId="0" borderId="14" xfId="0" applyFont="1" applyBorder="1" applyAlignment="1">
      <alignment horizontal="centerContinuous"/>
    </xf>
    <xf numFmtId="169" fontId="0" fillId="0" borderId="0" xfId="0" applyNumberFormat="1"/>
    <xf numFmtId="168" fontId="14" fillId="4" borderId="6" xfId="0" applyNumberFormat="1" applyFont="1" applyFill="1" applyBorder="1"/>
    <xf numFmtId="168" fontId="14" fillId="4" borderId="7" xfId="0" applyNumberFormat="1" applyFont="1" applyFill="1" applyBorder="1"/>
    <xf numFmtId="168" fontId="14" fillId="4" borderId="8" xfId="0" applyNumberFormat="1" applyFont="1" applyFill="1" applyBorder="1"/>
    <xf numFmtId="171" fontId="14" fillId="4" borderId="7" xfId="0" applyNumberFormat="1" applyFont="1" applyFill="1" applyBorder="1"/>
    <xf numFmtId="171" fontId="14" fillId="4" borderId="8" xfId="0" applyNumberFormat="1" applyFont="1" applyFill="1" applyBorder="1"/>
    <xf numFmtId="171" fontId="14" fillId="4" borderId="0" xfId="0" applyNumberFormat="1" applyFont="1" applyFill="1"/>
    <xf numFmtId="167" fontId="14" fillId="4" borderId="0" xfId="0" applyNumberFormat="1" applyFont="1" applyFill="1"/>
    <xf numFmtId="168" fontId="8" fillId="0" borderId="0" xfId="0" applyNumberFormat="1" applyFont="1"/>
    <xf numFmtId="169" fontId="14" fillId="4" borderId="0" xfId="0" applyNumberFormat="1" applyFont="1" applyFill="1"/>
    <xf numFmtId="0" fontId="1" fillId="0" borderId="14" xfId="0" applyFont="1" applyBorder="1"/>
    <xf numFmtId="173" fontId="14" fillId="4" borderId="0" xfId="0" applyNumberFormat="1" applyFont="1" applyFill="1"/>
    <xf numFmtId="168" fontId="11" fillId="0" borderId="0" xfId="0" applyNumberFormat="1" applyFont="1"/>
    <xf numFmtId="171" fontId="0" fillId="4" borderId="0" xfId="0" applyNumberFormat="1" applyFill="1"/>
    <xf numFmtId="171" fontId="8" fillId="0" borderId="6" xfId="0" applyNumberFormat="1" applyFont="1" applyBorder="1"/>
    <xf numFmtId="168" fontId="8" fillId="0" borderId="9" xfId="0" applyNumberFormat="1" applyFont="1" applyBorder="1"/>
    <xf numFmtId="168" fontId="8" fillId="0" borderId="10" xfId="0" applyNumberFormat="1" applyFont="1" applyBorder="1"/>
    <xf numFmtId="168" fontId="8" fillId="0" borderId="11" xfId="0" applyNumberFormat="1" applyFont="1" applyBorder="1"/>
    <xf numFmtId="168" fontId="8" fillId="0" borderId="12" xfId="0" applyNumberFormat="1" applyFont="1" applyBorder="1"/>
    <xf numFmtId="168" fontId="8" fillId="0" borderId="13" xfId="0" applyNumberFormat="1" applyFont="1" applyBorder="1"/>
    <xf numFmtId="171" fontId="8" fillId="0" borderId="9" xfId="0" applyNumberFormat="1" applyFont="1" applyBorder="1"/>
    <xf numFmtId="171" fontId="8" fillId="0" borderId="0" xfId="0" applyNumberFormat="1" applyFont="1"/>
    <xf numFmtId="171" fontId="8" fillId="0" borderId="10" xfId="0" applyNumberFormat="1" applyFont="1" applyBorder="1"/>
    <xf numFmtId="171" fontId="8" fillId="0" borderId="11" xfId="0" applyNumberFormat="1" applyFont="1" applyBorder="1"/>
    <xf numFmtId="171" fontId="8" fillId="0" borderId="12" xfId="0" applyNumberFormat="1" applyFont="1" applyBorder="1"/>
    <xf numFmtId="171" fontId="8" fillId="0" borderId="13" xfId="0" applyNumberFormat="1" applyFont="1" applyBorder="1"/>
    <xf numFmtId="168" fontId="8" fillId="0" borderId="6" xfId="0" applyNumberFormat="1" applyFont="1" applyBorder="1"/>
    <xf numFmtId="0" fontId="16" fillId="0" borderId="0" xfId="0" applyFont="1" applyAlignment="1">
      <alignment horizontal="center"/>
    </xf>
    <xf numFmtId="0" fontId="9" fillId="0" borderId="0" xfId="0" applyFont="1"/>
    <xf numFmtId="0" fontId="13" fillId="5" borderId="0" xfId="0" applyFont="1" applyFill="1" applyAlignment="1">
      <alignment horizontal="center"/>
    </xf>
    <xf numFmtId="0" fontId="9" fillId="0" borderId="17" xfId="0" applyFont="1" applyBorder="1" applyAlignment="1">
      <alignment horizontal="centerContinuous"/>
    </xf>
    <xf numFmtId="0" fontId="27" fillId="0" borderId="2" xfId="0" applyFont="1" applyBorder="1" applyAlignment="1">
      <alignment horizontal="center"/>
    </xf>
    <xf numFmtId="171" fontId="14" fillId="4" borderId="2" xfId="0" applyNumberFormat="1" applyFont="1" applyFill="1" applyBorder="1" applyAlignment="1">
      <alignment horizontal="center"/>
    </xf>
    <xf numFmtId="0" fontId="9" fillId="0" borderId="18" xfId="0" applyFont="1" applyBorder="1" applyAlignment="1">
      <alignment horizontal="centerContinuous"/>
    </xf>
    <xf numFmtId="0" fontId="14" fillId="4" borderId="0" xfId="0" applyFont="1" applyFill="1"/>
    <xf numFmtId="168" fontId="28" fillId="0" borderId="0" xfId="0" applyNumberFormat="1" applyFont="1"/>
    <xf numFmtId="169" fontId="8" fillId="0" borderId="0" xfId="0" applyNumberFormat="1" applyFont="1"/>
    <xf numFmtId="0" fontId="27" fillId="0" borderId="0" xfId="0" applyFont="1" applyAlignment="1">
      <alignment horizontal="center"/>
    </xf>
    <xf numFmtId="174" fontId="12" fillId="0" borderId="2" xfId="0" applyNumberFormat="1" applyFont="1" applyBorder="1" applyAlignment="1">
      <alignment horizontal="center"/>
    </xf>
    <xf numFmtId="171" fontId="9" fillId="0" borderId="18" xfId="0" applyNumberFormat="1" applyFont="1" applyBorder="1"/>
    <xf numFmtId="171" fontId="11" fillId="0" borderId="0" xfId="0" applyNumberFormat="1" applyFont="1"/>
    <xf numFmtId="171" fontId="1" fillId="0" borderId="0" xfId="0" applyNumberFormat="1" applyFont="1"/>
    <xf numFmtId="168" fontId="9" fillId="0" borderId="0" xfId="0" applyNumberFormat="1" applyFont="1"/>
    <xf numFmtId="171" fontId="1" fillId="0" borderId="19" xfId="0" applyNumberFormat="1" applyFont="1" applyBorder="1"/>
    <xf numFmtId="171" fontId="11" fillId="0" borderId="1" xfId="0" applyNumberFormat="1" applyFont="1" applyBorder="1"/>
    <xf numFmtId="171" fontId="14" fillId="4" borderId="20" xfId="0" applyNumberFormat="1" applyFont="1" applyFill="1" applyBorder="1"/>
    <xf numFmtId="171" fontId="14" fillId="4" borderId="17" xfId="0" applyNumberFormat="1" applyFont="1" applyFill="1" applyBorder="1"/>
    <xf numFmtId="171" fontId="14" fillId="4" borderId="21" xfId="0" applyNumberFormat="1" applyFont="1" applyFill="1" applyBorder="1"/>
    <xf numFmtId="171" fontId="14" fillId="4" borderId="22" xfId="0" applyNumberFormat="1" applyFont="1" applyFill="1" applyBorder="1"/>
    <xf numFmtId="171" fontId="14" fillId="4" borderId="23" xfId="0" applyNumberFormat="1" applyFont="1" applyFill="1" applyBorder="1"/>
    <xf numFmtId="171" fontId="14" fillId="4" borderId="24" xfId="0" applyNumberFormat="1" applyFont="1" applyFill="1" applyBorder="1"/>
    <xf numFmtId="171" fontId="14" fillId="4" borderId="14" xfId="0" applyNumberFormat="1" applyFont="1" applyFill="1" applyBorder="1"/>
    <xf numFmtId="171" fontId="14" fillId="4" borderId="25" xfId="0" applyNumberFormat="1" applyFont="1" applyFill="1" applyBorder="1"/>
    <xf numFmtId="171" fontId="1" fillId="0" borderId="1" xfId="0" applyNumberFormat="1" applyFont="1" applyBorder="1"/>
    <xf numFmtId="175" fontId="1" fillId="0" borderId="26" xfId="0" applyNumberFormat="1" applyFont="1" applyBorder="1"/>
    <xf numFmtId="176" fontId="9" fillId="0" borderId="0" xfId="0" applyNumberFormat="1" applyFont="1"/>
    <xf numFmtId="171" fontId="14" fillId="4" borderId="27" xfId="0" applyNumberFormat="1" applyFont="1" applyFill="1" applyBorder="1"/>
    <xf numFmtId="171" fontId="14" fillId="4" borderId="28" xfId="0" applyNumberFormat="1" applyFont="1" applyFill="1" applyBorder="1"/>
    <xf numFmtId="171" fontId="14" fillId="4" borderId="29" xfId="0" applyNumberFormat="1" applyFont="1" applyFill="1" applyBorder="1"/>
    <xf numFmtId="164" fontId="1" fillId="0" borderId="0" xfId="0" applyNumberFormat="1" applyFont="1"/>
    <xf numFmtId="171" fontId="11" fillId="0" borderId="19" xfId="0" applyNumberFormat="1" applyFont="1" applyBorder="1"/>
    <xf numFmtId="0" fontId="29" fillId="0" borderId="30" xfId="0" applyFont="1" applyBorder="1"/>
    <xf numFmtId="0" fontId="29" fillId="0" borderId="1" xfId="0" applyFont="1" applyBorder="1"/>
    <xf numFmtId="0" fontId="0" fillId="0" borderId="1" xfId="0" applyBorder="1"/>
    <xf numFmtId="168" fontId="29" fillId="0" borderId="1" xfId="0" applyNumberFormat="1" applyFont="1" applyBorder="1"/>
    <xf numFmtId="168" fontId="29" fillId="0" borderId="31" xfId="0" applyNumberFormat="1" applyFont="1" applyBorder="1"/>
    <xf numFmtId="0" fontId="29" fillId="0" borderId="32" xfId="0" applyFont="1" applyBorder="1"/>
    <xf numFmtId="168" fontId="29" fillId="0" borderId="33" xfId="0" applyNumberFormat="1" applyFont="1" applyBorder="1"/>
    <xf numFmtId="0" fontId="1" fillId="0" borderId="32" xfId="0" applyFont="1" applyBorder="1"/>
    <xf numFmtId="169" fontId="0" fillId="0" borderId="33" xfId="0" applyNumberFormat="1" applyBorder="1"/>
    <xf numFmtId="0" fontId="0" fillId="0" borderId="35" xfId="0" applyBorder="1"/>
    <xf numFmtId="0" fontId="1" fillId="0" borderId="30" xfId="0" applyFont="1" applyBorder="1"/>
    <xf numFmtId="0" fontId="1" fillId="0" borderId="34" xfId="0" applyFont="1" applyBorder="1"/>
    <xf numFmtId="168" fontId="29" fillId="0" borderId="35" xfId="0" applyNumberFormat="1" applyFont="1" applyBorder="1"/>
    <xf numFmtId="168" fontId="29" fillId="0" borderId="36" xfId="0" applyNumberFormat="1" applyFont="1" applyBorder="1"/>
    <xf numFmtId="171" fontId="0" fillId="7" borderId="0" xfId="0" applyNumberFormat="1" applyFill="1"/>
    <xf numFmtId="171" fontId="0" fillId="0" borderId="1" xfId="0" applyNumberFormat="1" applyBorder="1"/>
    <xf numFmtId="0" fontId="1" fillId="0" borderId="3" xfId="0" applyFont="1" applyBorder="1"/>
    <xf numFmtId="0" fontId="0" fillId="0" borderId="4" xfId="0" applyBorder="1"/>
    <xf numFmtId="168" fontId="1" fillId="0" borderId="1" xfId="0" applyNumberFormat="1" applyFont="1" applyBorder="1"/>
    <xf numFmtId="168" fontId="1" fillId="0" borderId="31" xfId="0" applyNumberFormat="1" applyFont="1" applyBorder="1"/>
    <xf numFmtId="168" fontId="1" fillId="0" borderId="35" xfId="0" applyNumberFormat="1" applyFont="1" applyBorder="1"/>
    <xf numFmtId="168" fontId="1" fillId="0" borderId="36" xfId="0" applyNumberFormat="1" applyFont="1" applyBorder="1"/>
    <xf numFmtId="172" fontId="11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right"/>
    </xf>
    <xf numFmtId="169" fontId="30" fillId="0" borderId="0" xfId="0" applyNumberFormat="1" applyFont="1" applyAlignment="1">
      <alignment horizontal="right"/>
    </xf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6" xfId="0" applyBorder="1"/>
    <xf numFmtId="177" fontId="14" fillId="0" borderId="0" xfId="0" applyNumberFormat="1" applyFont="1"/>
    <xf numFmtId="0" fontId="29" fillId="0" borderId="0" xfId="0" applyFont="1"/>
    <xf numFmtId="168" fontId="29" fillId="0" borderId="0" xfId="0" applyNumberFormat="1" applyFont="1"/>
    <xf numFmtId="171" fontId="0" fillId="0" borderId="33" xfId="0" applyNumberFormat="1" applyBorder="1"/>
    <xf numFmtId="0" fontId="29" fillId="0" borderId="3" xfId="0" applyFont="1" applyBorder="1"/>
    <xf numFmtId="0" fontId="29" fillId="0" borderId="4" xfId="0" applyFont="1" applyBorder="1"/>
    <xf numFmtId="168" fontId="29" fillId="0" borderId="4" xfId="0" applyNumberFormat="1" applyFont="1" applyBorder="1"/>
    <xf numFmtId="168" fontId="29" fillId="0" borderId="5" xfId="0" applyNumberFormat="1" applyFont="1" applyBorder="1"/>
    <xf numFmtId="0" fontId="1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8" fontId="31" fillId="0" borderId="0" xfId="0" applyNumberFormat="1" applyFont="1"/>
    <xf numFmtId="171" fontId="10" fillId="0" borderId="0" xfId="0" applyNumberFormat="1" applyFont="1"/>
    <xf numFmtId="169" fontId="10" fillId="0" borderId="0" xfId="0" applyNumberFormat="1" applyFont="1"/>
    <xf numFmtId="169" fontId="0" fillId="0" borderId="3" xfId="0" applyNumberFormat="1" applyBorder="1"/>
    <xf numFmtId="169" fontId="0" fillId="0" borderId="4" xfId="0" applyNumberFormat="1" applyBorder="1"/>
    <xf numFmtId="169" fontId="0" fillId="0" borderId="5" xfId="0" applyNumberFormat="1" applyBorder="1"/>
    <xf numFmtId="169" fontId="8" fillId="4" borderId="6" xfId="0" applyNumberFormat="1" applyFont="1" applyFill="1" applyBorder="1"/>
    <xf numFmtId="169" fontId="14" fillId="4" borderId="7" xfId="0" applyNumberFormat="1" applyFont="1" applyFill="1" applyBorder="1"/>
    <xf numFmtId="169" fontId="14" fillId="4" borderId="8" xfId="0" applyNumberFormat="1" applyFont="1" applyFill="1" applyBorder="1"/>
    <xf numFmtId="169" fontId="8" fillId="0" borderId="9" xfId="0" applyNumberFormat="1" applyFont="1" applyBorder="1"/>
    <xf numFmtId="169" fontId="8" fillId="0" borderId="10" xfId="0" applyNumberFormat="1" applyFont="1" applyBorder="1"/>
    <xf numFmtId="169" fontId="8" fillId="0" borderId="11" xfId="0" applyNumberFormat="1" applyFont="1" applyBorder="1"/>
    <xf numFmtId="169" fontId="8" fillId="0" borderId="12" xfId="0" applyNumberFormat="1" applyFont="1" applyBorder="1"/>
    <xf numFmtId="169" fontId="8" fillId="0" borderId="13" xfId="0" applyNumberFormat="1" applyFont="1" applyBorder="1"/>
    <xf numFmtId="0" fontId="32" fillId="4" borderId="0" xfId="0" applyFont="1" applyFill="1" applyAlignment="1">
      <alignment horizontal="center"/>
    </xf>
    <xf numFmtId="174" fontId="33" fillId="4" borderId="2" xfId="0" applyNumberFormat="1" applyFont="1" applyFill="1" applyBorder="1" applyAlignment="1">
      <alignment horizontal="center"/>
    </xf>
    <xf numFmtId="169" fontId="14" fillId="4" borderId="6" xfId="0" applyNumberFormat="1" applyFont="1" applyFill="1" applyBorder="1"/>
    <xf numFmtId="174" fontId="12" fillId="0" borderId="0" xfId="0" applyNumberFormat="1" applyFont="1" applyAlignment="1">
      <alignment horizontal="center"/>
    </xf>
    <xf numFmtId="168" fontId="30" fillId="4" borderId="0" xfId="0" applyNumberFormat="1" applyFont="1" applyFill="1"/>
    <xf numFmtId="178" fontId="28" fillId="0" borderId="0" xfId="0" applyNumberFormat="1" applyFont="1"/>
    <xf numFmtId="171" fontId="0" fillId="0" borderId="31" xfId="0" applyNumberFormat="1" applyBorder="1"/>
    <xf numFmtId="175" fontId="11" fillId="0" borderId="4" xfId="0" applyNumberFormat="1" applyFont="1" applyBorder="1"/>
    <xf numFmtId="175" fontId="11" fillId="0" borderId="5" xfId="0" applyNumberFormat="1" applyFont="1" applyBorder="1"/>
    <xf numFmtId="171" fontId="11" fillId="0" borderId="31" xfId="0" applyNumberFormat="1" applyFont="1" applyBorder="1"/>
    <xf numFmtId="171" fontId="14" fillId="4" borderId="37" xfId="0" applyNumberFormat="1" applyFont="1" applyFill="1" applyBorder="1"/>
    <xf numFmtId="171" fontId="14" fillId="4" borderId="38" xfId="0" applyNumberFormat="1" applyFont="1" applyFill="1" applyBorder="1"/>
    <xf numFmtId="171" fontId="10" fillId="0" borderId="33" xfId="0" applyNumberFormat="1" applyFont="1" applyBorder="1"/>
    <xf numFmtId="0" fontId="0" fillId="0" borderId="34" xfId="0" applyBorder="1"/>
    <xf numFmtId="171" fontId="10" fillId="0" borderId="36" xfId="0" applyNumberFormat="1" applyFont="1" applyBorder="1"/>
    <xf numFmtId="171" fontId="10" fillId="0" borderId="39" xfId="0" applyNumberFormat="1" applyFont="1" applyBorder="1"/>
    <xf numFmtId="171" fontId="10" fillId="0" borderId="40" xfId="0" applyNumberFormat="1" applyFont="1" applyBorder="1"/>
    <xf numFmtId="171" fontId="10" fillId="0" borderId="41" xfId="0" applyNumberFormat="1" applyFont="1" applyBorder="1"/>
    <xf numFmtId="175" fontId="0" fillId="0" borderId="0" xfId="0" applyNumberFormat="1"/>
    <xf numFmtId="175" fontId="1" fillId="0" borderId="4" xfId="0" applyNumberFormat="1" applyFont="1" applyBorder="1"/>
    <xf numFmtId="168" fontId="10" fillId="0" borderId="0" xfId="0" applyNumberFormat="1" applyFont="1"/>
    <xf numFmtId="179" fontId="0" fillId="0" borderId="0" xfId="0" applyNumberFormat="1"/>
    <xf numFmtId="179" fontId="1" fillId="0" borderId="1" xfId="0" applyNumberFormat="1" applyFont="1" applyBorder="1"/>
    <xf numFmtId="175" fontId="1" fillId="0" borderId="5" xfId="0" applyNumberFormat="1" applyFont="1" applyBorder="1"/>
    <xf numFmtId="0" fontId="0" fillId="0" borderId="0" xfId="0" applyAlignment="1">
      <alignment horizontal="center"/>
    </xf>
    <xf numFmtId="171" fontId="0" fillId="9" borderId="0" xfId="0" applyNumberFormat="1" applyFill="1"/>
    <xf numFmtId="175" fontId="1" fillId="0" borderId="0" xfId="0" applyNumberFormat="1" applyFont="1"/>
    <xf numFmtId="171" fontId="8" fillId="7" borderId="0" xfId="0" applyNumberFormat="1" applyFont="1" applyFill="1"/>
    <xf numFmtId="171" fontId="8" fillId="8" borderId="0" xfId="0" applyNumberFormat="1" applyFont="1" applyFill="1"/>
    <xf numFmtId="171" fontId="8" fillId="0" borderId="1" xfId="0" applyNumberFormat="1" applyFont="1" applyBorder="1"/>
    <xf numFmtId="168" fontId="1" fillId="0" borderId="33" xfId="0" applyNumberFormat="1" applyFont="1" applyBorder="1"/>
    <xf numFmtId="168" fontId="1" fillId="0" borderId="0" xfId="0" applyNumberFormat="1" applyFont="1"/>
    <xf numFmtId="175" fontId="11" fillId="4" borderId="5" xfId="0" applyNumberFormat="1" applyFont="1" applyFill="1" applyBorder="1"/>
    <xf numFmtId="175" fontId="11" fillId="4" borderId="4" xfId="0" applyNumberFormat="1" applyFont="1" applyFill="1" applyBorder="1"/>
    <xf numFmtId="0" fontId="9" fillId="0" borderId="0" xfId="0" applyFont="1" applyAlignment="1">
      <alignment horizontal="center"/>
    </xf>
    <xf numFmtId="171" fontId="1" fillId="0" borderId="33" xfId="0" applyNumberFormat="1" applyFont="1" applyBorder="1"/>
    <xf numFmtId="168" fontId="10" fillId="0" borderId="31" xfId="0" applyNumberFormat="1" applyFont="1" applyBorder="1"/>
    <xf numFmtId="168" fontId="10" fillId="0" borderId="33" xfId="0" applyNumberFormat="1" applyFont="1" applyBorder="1"/>
    <xf numFmtId="0" fontId="16" fillId="0" borderId="1" xfId="0" applyFont="1" applyBorder="1" applyAlignment="1">
      <alignment horizontal="center"/>
    </xf>
    <xf numFmtId="168" fontId="0" fillId="0" borderId="33" xfId="0" applyNumberFormat="1" applyBorder="1"/>
    <xf numFmtId="169" fontId="8" fillId="0" borderId="33" xfId="0" applyNumberFormat="1" applyFont="1" applyBorder="1"/>
    <xf numFmtId="0" fontId="13" fillId="5" borderId="30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171" fontId="0" fillId="0" borderId="32" xfId="0" applyNumberFormat="1" applyBorder="1"/>
    <xf numFmtId="169" fontId="0" fillId="0" borderId="32" xfId="0" applyNumberFormat="1" applyBorder="1"/>
    <xf numFmtId="168" fontId="0" fillId="0" borderId="32" xfId="0" applyNumberFormat="1" applyBorder="1"/>
    <xf numFmtId="169" fontId="8" fillId="0" borderId="32" xfId="0" applyNumberFormat="1" applyFont="1" applyBorder="1"/>
    <xf numFmtId="171" fontId="1" fillId="0" borderId="32" xfId="0" applyNumberFormat="1" applyFont="1" applyBorder="1"/>
    <xf numFmtId="168" fontId="1" fillId="0" borderId="34" xfId="0" applyNumberFormat="1" applyFont="1" applyBorder="1"/>
    <xf numFmtId="171" fontId="30" fillId="4" borderId="0" xfId="0" applyNumberFormat="1" applyFont="1" applyFill="1"/>
    <xf numFmtId="168" fontId="34" fillId="0" borderId="0" xfId="0" applyNumberFormat="1" applyFont="1"/>
    <xf numFmtId="171" fontId="30" fillId="4" borderId="1" xfId="0" applyNumberFormat="1" applyFont="1" applyFill="1" applyBorder="1"/>
    <xf numFmtId="168" fontId="35" fillId="4" borderId="0" xfId="0" applyNumberFormat="1" applyFont="1" applyFill="1"/>
    <xf numFmtId="168" fontId="36" fillId="4" borderId="0" xfId="0" applyNumberFormat="1" applyFont="1" applyFill="1"/>
    <xf numFmtId="180" fontId="14" fillId="4" borderId="0" xfId="0" applyNumberFormat="1" applyFont="1" applyFill="1"/>
    <xf numFmtId="175" fontId="1" fillId="4" borderId="26" xfId="0" applyNumberFormat="1" applyFont="1" applyFill="1" applyBorder="1"/>
    <xf numFmtId="175" fontId="30" fillId="4" borderId="26" xfId="0" applyNumberFormat="1" applyFont="1" applyFill="1" applyBorder="1"/>
    <xf numFmtId="49" fontId="14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Continuous"/>
    </xf>
    <xf numFmtId="0" fontId="14" fillId="4" borderId="0" xfId="0" applyFont="1" applyFill="1" applyAlignment="1">
      <alignment horizontal="left"/>
    </xf>
    <xf numFmtId="0" fontId="37" fillId="4" borderId="0" xfId="0" applyFont="1" applyFill="1" applyAlignment="1">
      <alignment horizontal="center"/>
    </xf>
    <xf numFmtId="0" fontId="37" fillId="4" borderId="2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39" fillId="10" borderId="0" xfId="5" applyFont="1" applyFill="1" applyProtection="1">
      <protection locked="0"/>
    </xf>
    <xf numFmtId="0" fontId="0" fillId="0" borderId="0" xfId="0" applyProtection="1">
      <protection locked="0"/>
    </xf>
    <xf numFmtId="0" fontId="40" fillId="0" borderId="0" xfId="0" applyFont="1"/>
    <xf numFmtId="0" fontId="0" fillId="11" borderId="0" xfId="0" applyFill="1"/>
    <xf numFmtId="0" fontId="0" fillId="12" borderId="0" xfId="0" applyFill="1"/>
    <xf numFmtId="0" fontId="0" fillId="0" borderId="17" xfId="0" applyBorder="1"/>
    <xf numFmtId="181" fontId="24" fillId="10" borderId="0" xfId="6" applyNumberFormat="1" applyFont="1" applyFill="1" applyAlignment="1">
      <alignment horizontal="left"/>
    </xf>
    <xf numFmtId="0" fontId="39" fillId="10" borderId="0" xfId="5" applyFont="1" applyFill="1"/>
    <xf numFmtId="0" fontId="41" fillId="0" borderId="0" xfId="5" applyFont="1"/>
    <xf numFmtId="0" fontId="42" fillId="0" borderId="0" xfId="2" applyFont="1" applyBorder="1" applyAlignment="1" applyProtection="1"/>
    <xf numFmtId="0" fontId="43" fillId="0" borderId="0" xfId="5" applyFont="1"/>
    <xf numFmtId="182" fontId="41" fillId="0" borderId="0" xfId="6" applyNumberFormat="1" applyFont="1" applyAlignment="1">
      <alignment horizontal="left"/>
    </xf>
    <xf numFmtId="0" fontId="24" fillId="10" borderId="0" xfId="5" applyFont="1" applyFill="1"/>
    <xf numFmtId="0" fontId="44" fillId="0" borderId="0" xfId="5" applyFont="1"/>
    <xf numFmtId="169" fontId="1" fillId="0" borderId="1" xfId="0" applyNumberFormat="1" applyFont="1" applyBorder="1"/>
    <xf numFmtId="169" fontId="1" fillId="0" borderId="31" xfId="0" applyNumberFormat="1" applyFont="1" applyBorder="1"/>
    <xf numFmtId="0" fontId="13" fillId="5" borderId="1" xfId="0" applyFont="1" applyFill="1" applyBorder="1" applyAlignment="1">
      <alignment horizontal="centerContinuous"/>
    </xf>
    <xf numFmtId="181" fontId="41" fillId="10" borderId="0" xfId="6" applyNumberFormat="1" applyFont="1" applyFill="1" applyAlignment="1">
      <alignment horizontal="left"/>
    </xf>
    <xf numFmtId="175" fontId="1" fillId="0" borderId="19" xfId="0" applyNumberFormat="1" applyFont="1" applyBorder="1"/>
    <xf numFmtId="174" fontId="37" fillId="4" borderId="16" xfId="0" applyNumberFormat="1" applyFont="1" applyFill="1" applyBorder="1" applyAlignment="1">
      <alignment horizontal="center"/>
    </xf>
    <xf numFmtId="174" fontId="45" fillId="0" borderId="2" xfId="0" applyNumberFormat="1" applyFont="1" applyBorder="1" applyAlignment="1">
      <alignment horizontal="center"/>
    </xf>
    <xf numFmtId="169" fontId="1" fillId="0" borderId="0" xfId="0" applyNumberFormat="1" applyFont="1"/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</cellXfs>
  <cellStyles count="7">
    <cellStyle name="Accent6" xfId="3" builtinId="49"/>
    <cellStyle name="Comma" xfId="1" builtinId="3"/>
    <cellStyle name="Hyperlink" xfId="2" builtinId="8"/>
    <cellStyle name="Normal" xfId="0" builtinId="0"/>
    <cellStyle name="Normal 2" xfId="5" xr:uid="{863716F6-31B6-40CB-B44D-0E2B2C0F75CD}"/>
    <cellStyle name="Normal_Inverness Drive Model 4-26-02" xfId="6" xr:uid="{F34FC7E5-A6D3-469A-AE2B-1739D3D8F407}"/>
    <cellStyle name="Normal_TrainingDCF1" xfId="4" xr:uid="{8A5BEDCA-A1AB-47B2-9362-ED87FB442B3D}"/>
  </cellStyles>
  <dxfs count="10">
    <dxf>
      <font>
        <b/>
        <i val="0"/>
        <color theme="0"/>
      </font>
      <fill>
        <patternFill>
          <bgColor theme="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E560EE91-C295-47E9-9B34-B35B75888530}">
      <tableStyleElement type="wholeTable" dxfId="9"/>
      <tableStyleElement type="headerRow" dxfId="8"/>
    </tableStyle>
  </tableStyles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$H$182" fmlaRange="$D$190:$D$192" noThreeD="1" sel="1" val="0"/>
</file>

<file path=xl/ctrlProps/ctrlProp2.xml><?xml version="1.0" encoding="utf-8"?>
<formControlPr xmlns="http://schemas.microsoft.com/office/spreadsheetml/2009/9/main" objectType="Drop" dropStyle="combo" dx="22" fmlaLink="$H$88" fmlaRange="$D$102:$D$104" noThreeD="1" sel="1" val="0"/>
</file>

<file path=xl/ctrlProps/ctrlProp3.xml><?xml version="1.0" encoding="utf-8"?>
<formControlPr xmlns="http://schemas.microsoft.com/office/spreadsheetml/2009/9/main" objectType="Drop" dropStyle="combo" dx="22" fmlaLink="$H$182" fmlaRange="$D$102:$D$104" noThreeD="1" sel="1" val="0"/>
</file>

<file path=xl/ctrlProps/ctrlProp4.xml><?xml version="1.0" encoding="utf-8"?>
<formControlPr xmlns="http://schemas.microsoft.com/office/spreadsheetml/2009/9/main" objectType="Drop" dropStyle="combo" dx="22" fmlaLink="$H$88" fmlaRange="$D$102:$D$104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361949</xdr:colOff>
      <xdr:row>1</xdr:row>
      <xdr:rowOff>0</xdr:rowOff>
    </xdr:from>
    <xdr:ext cx="1952625" cy="1638300"/>
    <xdr:pic>
      <xdr:nvPicPr>
        <xdr:cNvPr id="2" name="Image 3" descr="Picture">
          <a:extLst>
            <a:ext uri="{FF2B5EF4-FFF2-40B4-BE49-F238E27FC236}">
              <a16:creationId xmlns:a16="http://schemas.microsoft.com/office/drawing/2014/main" id="{919D012F-C55F-40E3-996B-E987AB3CAB8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599" y="200025"/>
          <a:ext cx="1952625" cy="16383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87</xdr:row>
          <xdr:rowOff>7620</xdr:rowOff>
        </xdr:from>
        <xdr:to>
          <xdr:col>9</xdr:col>
          <xdr:colOff>114300</xdr:colOff>
          <xdr:row>89</xdr:row>
          <xdr:rowOff>7620</xdr:rowOff>
        </xdr:to>
        <xdr:sp macro="" textlink="">
          <xdr:nvSpPr>
            <xdr:cNvPr id="26625" name="Drop Dow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1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181</xdr:row>
          <xdr:rowOff>7620</xdr:rowOff>
        </xdr:from>
        <xdr:to>
          <xdr:col>8</xdr:col>
          <xdr:colOff>76200</xdr:colOff>
          <xdr:row>182</xdr:row>
          <xdr:rowOff>30480</xdr:rowOff>
        </xdr:to>
        <xdr:sp macro="" textlink="">
          <xdr:nvSpPr>
            <xdr:cNvPr id="26626" name="Drop Down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1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181</xdr:row>
          <xdr:rowOff>7620</xdr:rowOff>
        </xdr:from>
        <xdr:to>
          <xdr:col>9</xdr:col>
          <xdr:colOff>114300</xdr:colOff>
          <xdr:row>182</xdr:row>
          <xdr:rowOff>30480</xdr:rowOff>
        </xdr:to>
        <xdr:sp macro="" textlink="">
          <xdr:nvSpPr>
            <xdr:cNvPr id="26627" name="Drop Down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1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181</xdr:row>
          <xdr:rowOff>7620</xdr:rowOff>
        </xdr:from>
        <xdr:to>
          <xdr:col>9</xdr:col>
          <xdr:colOff>114300</xdr:colOff>
          <xdr:row>182</xdr:row>
          <xdr:rowOff>30480</xdr:rowOff>
        </xdr:to>
        <xdr:sp macro="" textlink="">
          <xdr:nvSpPr>
            <xdr:cNvPr id="26633" name="Drop Down 9" hidden="1">
              <a:extLst>
                <a:ext uri="{63B3BB69-23CF-44E3-9099-C40C66FF867C}">
                  <a14:compatExt spid="_x0000_s26633"/>
                </a:ext>
                <a:ext uri="{FF2B5EF4-FFF2-40B4-BE49-F238E27FC236}">
                  <a16:creationId xmlns:a16="http://schemas.microsoft.com/office/drawing/2014/main" id="{00000000-0008-0000-0100-000009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dhirkulay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DF78-324E-4E86-97A4-1579CC9B8FCE}">
  <dimension ref="A1:J22"/>
  <sheetViews>
    <sheetView showGridLines="0" zoomScaleNormal="100" zoomScaleSheetLayoutView="100" workbookViewId="0">
      <selection activeCell="A20" sqref="A20"/>
    </sheetView>
  </sheetViews>
  <sheetFormatPr defaultRowHeight="14.4" x14ac:dyDescent="0.3"/>
  <cols>
    <col min="1" max="1" width="3.44140625" customWidth="1"/>
    <col min="2" max="2" width="16.88671875" customWidth="1"/>
    <col min="3" max="3" width="12.44140625" customWidth="1"/>
    <col min="4" max="4" width="2.33203125" customWidth="1"/>
    <col min="5" max="5" width="27.5546875" customWidth="1"/>
    <col min="6" max="6" width="6.5546875" customWidth="1"/>
    <col min="7" max="7" width="6.33203125" customWidth="1"/>
    <col min="8" max="8" width="2.6640625" customWidth="1"/>
    <col min="9" max="9" width="29.5546875" customWidth="1"/>
    <col min="10" max="10" width="3.44140625" customWidth="1"/>
  </cols>
  <sheetData>
    <row r="1" spans="1:10" s="228" customFormat="1" ht="15.6" x14ac:dyDescent="0.3">
      <c r="A1" s="233"/>
      <c r="B1" s="233"/>
      <c r="C1" s="233"/>
      <c r="D1" s="233"/>
      <c r="E1" s="233"/>
      <c r="F1" s="233"/>
      <c r="G1" s="233"/>
      <c r="H1" s="233"/>
      <c r="I1" s="233"/>
      <c r="J1" s="233"/>
    </row>
    <row r="4" spans="1:10" ht="25.8" x14ac:dyDescent="0.5">
      <c r="E4" s="230" t="s">
        <v>624</v>
      </c>
    </row>
    <row r="6" spans="1:10" x14ac:dyDescent="0.3">
      <c r="E6" s="231"/>
      <c r="F6" s="231"/>
      <c r="G6" s="231"/>
      <c r="H6" s="231"/>
      <c r="I6" s="231"/>
    </row>
    <row r="8" spans="1:10" ht="17.399999999999999" x14ac:dyDescent="0.3">
      <c r="E8" s="234"/>
    </row>
    <row r="9" spans="1:10" s="228" customFormat="1" ht="17.399999999999999" x14ac:dyDescent="0.3">
      <c r="A9"/>
      <c r="B9" s="235"/>
      <c r="C9"/>
      <c r="D9"/>
      <c r="E9" s="236" t="str">
        <f>'Assumptions&amp;Scenario'!K10</f>
      </c>
      <c r="F9"/>
      <c r="G9"/>
      <c r="H9"/>
      <c r="I9"/>
      <c r="J9"/>
    </row>
    <row r="10" spans="1:10" ht="17.399999999999999" x14ac:dyDescent="0.3">
      <c r="B10" s="237" t="s">
        <v>625</v>
      </c>
      <c r="E10" s="245">
        <f ca="1">'Assumptions&amp;Scenario'!U10</f>
      </c>
    </row>
    <row r="11" spans="1:10" s="228" customFormat="1" ht="35.4" x14ac:dyDescent="0.6">
      <c r="A11"/>
      <c r="B11" s="237"/>
      <c r="C11"/>
      <c r="D11"/>
      <c r="E11" s="238"/>
      <c r="F11"/>
      <c r="G11"/>
      <c r="H11"/>
      <c r="I11"/>
      <c r="J11"/>
    </row>
    <row r="12" spans="1:10" s="228" customFormat="1" ht="17.399999999999999" x14ac:dyDescent="0.3">
      <c r="A12"/>
      <c r="B12" s="235"/>
      <c r="C12"/>
      <c r="D12"/>
      <c r="E12" s="234"/>
      <c r="F12"/>
      <c r="G12"/>
      <c r="H12"/>
      <c r="I12"/>
      <c r="J12"/>
    </row>
    <row r="13" spans="1:10" s="228" customFormat="1" ht="17.399999999999999" x14ac:dyDescent="0.3">
      <c r="A13"/>
      <c r="B13" s="235"/>
      <c r="C13"/>
      <c r="D13"/>
      <c r="E13" s="239"/>
      <c r="F13"/>
      <c r="G13"/>
      <c r="H13"/>
      <c r="I13"/>
      <c r="J13"/>
    </row>
    <row r="14" spans="1:10" s="228" customFormat="1" ht="15.6" x14ac:dyDescent="0.3">
      <c r="A14"/>
      <c r="B14" s="235"/>
      <c r="C14"/>
      <c r="D14"/>
      <c r="E14"/>
      <c r="F14"/>
      <c r="G14"/>
      <c r="H14"/>
      <c r="I14"/>
      <c r="J14"/>
    </row>
    <row r="15" spans="1:10" s="228" customFormat="1" ht="17.399999999999999" x14ac:dyDescent="0.3">
      <c r="A15"/>
      <c r="B15"/>
      <c r="C15"/>
      <c r="D15"/>
      <c r="E15"/>
      <c r="F15"/>
      <c r="G15"/>
      <c r="H15"/>
      <c r="I15" s="234" t="s">
        <v>626</v>
      </c>
      <c r="J15"/>
    </row>
    <row r="16" spans="1:10" s="228" customFormat="1" ht="21" x14ac:dyDescent="0.4">
      <c r="A16"/>
      <c r="B16" s="240"/>
      <c r="C16"/>
      <c r="D16"/>
      <c r="E16"/>
      <c r="F16"/>
      <c r="G16"/>
      <c r="H16"/>
      <c r="I16" s="241" t="s">
        <v>627</v>
      </c>
      <c r="J16"/>
    </row>
    <row r="17" spans="1:10" s="228" customFormat="1" ht="15.6" x14ac:dyDescent="0.3">
      <c r="A17"/>
      <c r="B17" s="235"/>
      <c r="C17"/>
      <c r="D17"/>
      <c r="E17"/>
      <c r="F17"/>
      <c r="G17"/>
      <c r="H17"/>
      <c r="I17"/>
      <c r="J17"/>
    </row>
    <row r="18" spans="1:10" x14ac:dyDescent="0.3">
      <c r="B18" s="14"/>
      <c r="C18" s="232"/>
      <c r="D18" s="232"/>
      <c r="E18" s="232"/>
      <c r="F18" s="232"/>
      <c r="G18" s="232"/>
      <c r="H18" s="232"/>
      <c r="I18" s="232"/>
    </row>
    <row r="19" spans="1:10" ht="15" thickBot="1" x14ac:dyDescent="0.35">
      <c r="A19" s="41"/>
      <c r="B19" s="41"/>
      <c r="C19" s="41"/>
      <c r="D19" s="41"/>
      <c r="E19" s="41"/>
      <c r="F19" s="41"/>
      <c r="G19" s="41"/>
      <c r="H19" s="41"/>
      <c r="I19" s="41"/>
      <c r="J19" s="41"/>
    </row>
    <row r="22" spans="1:10" s="228" customFormat="1" ht="15.6" x14ac:dyDescent="0.3">
      <c r="A22" s="229"/>
      <c r="B22" s="229"/>
      <c r="C22" s="229"/>
      <c r="D22" s="229"/>
      <c r="E22" s="229"/>
      <c r="F22" s="229"/>
      <c r="G22" s="229"/>
      <c r="H22" s="229"/>
      <c r="I22" s="229"/>
      <c r="J22" s="229"/>
    </row>
  </sheetData>
  <sheetProtection sheet="1" objects="1" scenarios="1"/>
  <hyperlinks>
    <hyperlink ref="B10" r:id="rId1" xr:uid="{623650B4-73AB-4595-A4FD-CC0F1DFF441F}"/>
  </hyperlinks>
  <printOptions horizontalCentered="1" verticalCentered="1"/>
  <pageMargins left="0.19685039370078741" right="0.19685039370078741" top="0.19685039370078741" bottom="0.19685039370078741" header="0.11811023622047245" footer="0.11811023622047245"/>
  <pageSetup paperSize="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5321-4B62-4DE9-8842-892CCF36F0CF}">
  <dimension ref="A3:AQ207"/>
  <sheetViews>
    <sheetView showGridLines="0" tabSelected="1" view="pageBreakPreview" zoomScaleNormal="100" zoomScaleSheetLayoutView="100" workbookViewId="0">
      <selection activeCell="K10" sqref="K10"/>
    </sheetView>
  </sheetViews>
  <sheetFormatPr defaultRowHeight="14.4" x14ac:dyDescent="0.3"/>
  <cols>
    <col min="2" max="2" width="1.88671875" customWidth="1"/>
    <col min="3" max="5" width="2.44140625" customWidth="1"/>
    <col min="9" max="9" width="1.88671875" customWidth="1"/>
    <col min="11" max="11" width="11.109375" customWidth="1"/>
    <col min="12" max="20" width="9.5546875" bestFit="1" customWidth="1"/>
    <col min="21" max="21" width="11.88671875" bestFit="1" customWidth="1"/>
    <col min="22" max="22" width="1.88671875" customWidth="1"/>
  </cols>
  <sheetData>
    <row r="3" spans="2:32" ht="18" x14ac:dyDescent="0.35">
      <c r="B3" s="148" t="str">
        <f>$K$10</f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 spans="2:32" ht="18" thickBot="1" x14ac:dyDescent="0.35">
      <c r="B4" s="47" t="s">
        <v>163</v>
      </c>
      <c r="C4" s="48"/>
      <c r="D4" s="48"/>
      <c r="E4" s="48"/>
      <c r="F4" s="48"/>
      <c r="G4" s="48"/>
      <c r="H4" s="49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6" spans="2:32" ht="15.9" customHeight="1" x14ac:dyDescent="0.3">
      <c r="C6" s="43" t="s">
        <v>163</v>
      </c>
      <c r="D6" s="43"/>
      <c r="E6" s="43"/>
      <c r="F6" s="43"/>
      <c r="G6" s="43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Y6" s="43" t="s">
        <v>490</v>
      </c>
      <c r="Z6" s="43"/>
      <c r="AA6" s="43"/>
      <c r="AB6" s="43"/>
      <c r="AC6" s="43"/>
      <c r="AD6" s="43"/>
      <c r="AE6" s="43"/>
      <c r="AF6" s="43"/>
    </row>
    <row r="7" spans="2:32" ht="3" customHeight="1" x14ac:dyDescent="0.3"/>
    <row r="8" spans="2:32" ht="3" customHeight="1" x14ac:dyDescent="0.3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2:32" ht="3" customHeight="1" x14ac:dyDescent="0.3"/>
    <row r="10" spans="2:32" x14ac:dyDescent="0.3">
      <c r="D10" t="s">
        <v>388</v>
      </c>
      <c r="K10" s="84" t="str">
        <f>'Data Sheet'!B1</f>
      </c>
      <c r="L10" s="13"/>
      <c r="M10" s="13"/>
      <c r="N10" s="13"/>
      <c r="P10" t="s">
        <v>581</v>
      </c>
      <c r="U10" s="218">
        <f ca="1">TODAY()</f>
      </c>
      <c r="Y10" t="s">
        <v>121</v>
      </c>
      <c r="AC10" s="58">
        <f>IFERROR(HistoricalData!AH333, HistoricalData!AH375)</f>
      </c>
    </row>
    <row r="11" spans="2:32" x14ac:dyDescent="0.3">
      <c r="D11" t="s">
        <v>113</v>
      </c>
      <c r="K11" s="84" t="str" cm="1">
        <f t="array" aca="1" ref="K11" ca="1">_xlfn.TEXTJOIN("", TRUE, LEFT(TRIM(MID(SUBSTITUTE(K10, " ", REPT(" ", 100)), (ROW(INDIRECT("1:" &amp; LEN(K10) - LEN(SUBSTITUTE(K10, " ", ""))) )-1)*100+1, 100)), 1))</f>
      </c>
      <c r="L11" s="13"/>
      <c r="M11" s="13"/>
      <c r="N11" s="13"/>
      <c r="P11" t="s">
        <v>585</v>
      </c>
      <c r="U11" s="222" t="s">
        <v>586</v>
      </c>
      <c r="Y11" t="s">
        <v>122</v>
      </c>
      <c r="AC11" s="58">
        <f>IFERROR(HistoricalData!U562, U19)</f>
      </c>
    </row>
    <row r="12" spans="2:32" ht="3" customHeight="1" x14ac:dyDescent="0.3"/>
    <row r="13" spans="2:32" ht="15" thickBot="1" x14ac:dyDescent="0.35">
      <c r="D13" s="60" t="s">
        <v>164</v>
      </c>
      <c r="E13" s="41"/>
      <c r="F13" s="41"/>
      <c r="G13" s="41"/>
      <c r="P13" s="60" t="s">
        <v>165</v>
      </c>
      <c r="Q13" s="41"/>
      <c r="Y13" t="s">
        <v>124</v>
      </c>
      <c r="AC13" s="50">
        <f>HistoricalData!U559</f>
      </c>
    </row>
    <row r="14" spans="2:32" x14ac:dyDescent="0.3">
      <c r="D14" t="s">
        <v>117</v>
      </c>
      <c r="K14" s="57">
        <v>10</v>
      </c>
      <c r="P14" t="s">
        <v>125</v>
      </c>
      <c r="U14" s="23">
        <f>HistoricalData!U645</f>
      </c>
      <c r="Y14" t="s">
        <v>125</v>
      </c>
      <c r="AC14" s="58">
        <f>HistoricalData!U645</f>
      </c>
    </row>
    <row r="15" spans="2:32" x14ac:dyDescent="0.3">
      <c r="D15" t="s">
        <v>118</v>
      </c>
      <c r="K15" s="23">
        <v>0.1</v>
      </c>
      <c r="P15" t="s">
        <v>126</v>
      </c>
      <c r="U15" s="58">
        <f>1-U14</f>
      </c>
      <c r="Y15" t="s">
        <v>369</v>
      </c>
      <c r="AC15" s="23">
        <v>6.5000000000000002E-2</v>
      </c>
      <c r="AD15" t="s">
        <v>370</v>
      </c>
    </row>
    <row r="16" spans="2:32" x14ac:dyDescent="0.3">
      <c r="D16" t="s">
        <v>119</v>
      </c>
      <c r="K16" s="23">
        <v>0.05</v>
      </c>
      <c r="P16" t="s">
        <v>127</v>
      </c>
      <c r="U16" s="23">
        <f>AC17</f>
      </c>
      <c r="Y16" t="s">
        <v>591</v>
      </c>
      <c r="AC16" s="84" t="s">
        <v>592</v>
      </c>
    </row>
    <row r="17" spans="4:30" x14ac:dyDescent="0.3">
      <c r="D17" t="s">
        <v>120</v>
      </c>
      <c r="K17" s="58">
        <f>K16+(K15-K16)*(K14/40)</f>
      </c>
      <c r="P17" t="s">
        <v>132</v>
      </c>
      <c r="U17" s="23">
        <v>0.25</v>
      </c>
      <c r="Y17" t="s">
        <v>127</v>
      </c>
      <c r="AC17" s="58">
        <f>AC15 + CHOOSE(MATCH(AC16, {"AAA","AA","A","BBB","BB or Lower"}, 0), 2%, 3%, 4.5%, 6%, 8%)</f>
      </c>
      <c r="AD17" t="s">
        <v>372</v>
      </c>
    </row>
    <row r="18" spans="4:30" x14ac:dyDescent="0.3">
      <c r="D18" t="s">
        <v>121</v>
      </c>
      <c r="K18" s="23">
        <f>IFERROR(HistoricalData!AH333, HistoricalData!AH375)</f>
      </c>
      <c r="P18" t="s">
        <v>128</v>
      </c>
      <c r="U18" s="23">
        <f>AC21</f>
      </c>
      <c r="Y18" t="s">
        <v>371</v>
      </c>
      <c r="Z18" s="22"/>
      <c r="AC18" s="23">
        <v>0.123</v>
      </c>
    </row>
    <row r="19" spans="4:30" x14ac:dyDescent="0.3">
      <c r="D19" t="s">
        <v>122</v>
      </c>
      <c r="F19" s="15"/>
      <c r="K19" s="23">
        <f>IFERROR(HistoricalData!U562, U19)</f>
      </c>
      <c r="P19" s="2" t="s">
        <v>80</v>
      </c>
      <c r="Q19" s="2"/>
      <c r="R19" s="2"/>
      <c r="S19" s="2"/>
      <c r="T19" s="2"/>
      <c r="U19" s="62">
        <f>U14*U16*(1-U17)+U15*U18</f>
      </c>
      <c r="Y19" t="s">
        <v>373</v>
      </c>
      <c r="AC19" s="58">
        <f>AC18-AC15</f>
      </c>
    </row>
    <row r="20" spans="4:30" x14ac:dyDescent="0.3">
      <c r="D20" t="s">
        <v>578</v>
      </c>
      <c r="F20" s="15"/>
      <c r="K20" s="23">
        <f>IFERROR(HistoricalData!U564, U20)</f>
      </c>
      <c r="P20" t="s">
        <v>129</v>
      </c>
      <c r="T20" s="18"/>
      <c r="U20" s="59">
        <v>19.5</v>
      </c>
      <c r="Y20" t="s">
        <v>374</v>
      </c>
      <c r="Z20" s="58"/>
      <c r="AC20" s="59">
        <v>1</v>
      </c>
      <c r="AD20" t="s">
        <v>375</v>
      </c>
    </row>
    <row r="21" spans="4:30" x14ac:dyDescent="0.3">
      <c r="D21" t="s">
        <v>123</v>
      </c>
      <c r="F21" s="15"/>
      <c r="K21" s="58">
        <f>K17/K19</f>
      </c>
      <c r="P21" t="s">
        <v>130</v>
      </c>
      <c r="U21" s="23">
        <f>AC23</f>
      </c>
      <c r="Y21" t="s">
        <v>128</v>
      </c>
      <c r="Z21" s="58"/>
      <c r="AC21" s="58">
        <f>AC15+AC20*AC19</f>
      </c>
    </row>
    <row r="22" spans="4:30" x14ac:dyDescent="0.3">
      <c r="D22" t="s">
        <v>124</v>
      </c>
      <c r="F22" s="50"/>
      <c r="K22" s="59">
        <f>HistoricalData!U559</f>
      </c>
      <c r="P22" t="s">
        <v>131</v>
      </c>
      <c r="U22" s="63">
        <v>0</v>
      </c>
      <c r="Y22" t="s">
        <v>594</v>
      </c>
      <c r="AC22" s="223" t="s">
        <v>595</v>
      </c>
      <c r="AD22" s="223"/>
    </row>
    <row r="23" spans="4:30" x14ac:dyDescent="0.3">
      <c r="Y23" t="s">
        <v>130</v>
      </c>
      <c r="AC23" s="58">
        <f>CHOOSE(MATCH(AC22, {"High-growth","Quality compounder","Market average","Slow-growth","Troubled/distressed"}, 0), 50%, 30%, 0%, -25%, -50%)</f>
      </c>
    </row>
    <row r="24" spans="4:30" ht="15" thickBot="1" x14ac:dyDescent="0.35">
      <c r="D24" s="60" t="s">
        <v>166</v>
      </c>
      <c r="E24" s="41"/>
      <c r="F24" s="41"/>
      <c r="G24" s="41"/>
      <c r="P24" s="60" t="s">
        <v>167</v>
      </c>
      <c r="Q24" s="41"/>
    </row>
    <row r="25" spans="4:30" x14ac:dyDescent="0.3">
      <c r="D25" s="16"/>
      <c r="K25" s="17" t="str">
        <f>L88</f>
      </c>
      <c r="L25" s="21" t="s">
        <v>400</v>
      </c>
      <c r="M25" s="21" t="s">
        <v>401</v>
      </c>
      <c r="S25" s="17" t="str">
        <f>L88</f>
      </c>
      <c r="T25" s="21" t="s">
        <v>400</v>
      </c>
      <c r="U25" s="21" t="s">
        <v>401</v>
      </c>
    </row>
    <row r="26" spans="4:30" x14ac:dyDescent="0.3">
      <c r="D26" s="84" t="s">
        <v>227</v>
      </c>
      <c r="E26" s="13"/>
      <c r="F26" s="13"/>
      <c r="G26" s="13"/>
      <c r="I26" s="20" t="s">
        <v>133</v>
      </c>
      <c r="K26" s="71">
        <f>HistoricalData!U199*(1+L26)</f>
      </c>
      <c r="L26" s="23">
        <f>IFERROR(HistoricalData!Y199/HistoricalData!U199-1, 0)</f>
      </c>
      <c r="M26" s="23">
        <f>IFERROR(HistoricalData!Z199/HistoricalData!Y199-1, 0)</f>
      </c>
      <c r="P26" s="84" t="s">
        <v>61</v>
      </c>
      <c r="Q26" s="13"/>
      <c r="R26" s="20" t="s">
        <v>134</v>
      </c>
      <c r="S26" s="71">
        <f>HistoricalData!U189*(1+T26)</f>
      </c>
      <c r="T26" s="23">
        <f>IFERROR(HistoricalData!Y189/HistoricalData!U189-1, 0)</f>
      </c>
      <c r="U26" s="23">
        <f>IFERROR(HistoricalData!Z189/HistoricalData!Y189-1, 0)</f>
      </c>
    </row>
    <row r="27" spans="4:30" x14ac:dyDescent="0.3">
      <c r="D27" s="84" t="s">
        <v>59</v>
      </c>
      <c r="E27" s="13"/>
      <c r="F27" s="13"/>
      <c r="G27" s="13"/>
      <c r="I27" s="20" t="s">
        <v>133</v>
      </c>
      <c r="K27" s="71">
        <f>HistoricalData!U200*(1+L27)</f>
      </c>
      <c r="L27" s="23">
        <f>IFERROR(HistoricalData!Y200/HistoricalData!U200-1, 0)</f>
      </c>
      <c r="M27" s="23">
        <f>IFERROR(HistoricalData!Z200/HistoricalData!Y200-1, 0)</f>
      </c>
      <c r="P27" s="84" t="s">
        <v>217</v>
      </c>
      <c r="Q27" s="13"/>
      <c r="R27" s="20" t="s">
        <v>134</v>
      </c>
      <c r="S27" s="71">
        <f>HistoricalData!U190*(1+T27)</f>
      </c>
      <c r="T27" s="23">
        <f>IFERROR(HistoricalData!Y190/HistoricalData!U190-1, 0)</f>
      </c>
      <c r="U27" s="23">
        <f>IFERROR(HistoricalData!Z190/HistoricalData!Y190-1, 0)</f>
      </c>
    </row>
    <row r="28" spans="4:30" x14ac:dyDescent="0.3">
      <c r="D28" s="84" t="s">
        <v>60</v>
      </c>
      <c r="E28" s="13"/>
      <c r="F28" s="13"/>
      <c r="G28" s="13"/>
      <c r="I28" s="20" t="s">
        <v>133</v>
      </c>
      <c r="K28" s="71">
        <f>HistoricalData!U201*(1+L28)</f>
      </c>
      <c r="L28" s="23">
        <f>IFERROR(HistoricalData!Y201/HistoricalData!U201-1, 0)</f>
      </c>
      <c r="M28" s="23">
        <f>IFERROR(HistoricalData!Z201/HistoricalData!Y201-1, 0)</f>
      </c>
      <c r="P28" s="84" t="s">
        <v>218</v>
      </c>
      <c r="Q28" s="13"/>
      <c r="R28" s="20" t="s">
        <v>134</v>
      </c>
      <c r="S28" s="71">
        <f>HistoricalData!U191*(1+T28)</f>
      </c>
      <c r="T28" s="23">
        <f>IFERROR(HistoricalData!Y191/HistoricalData!U191-1, 0)</f>
      </c>
      <c r="U28" s="23">
        <f>IFERROR(HistoricalData!Z191/HistoricalData!Y191-1, 0)</f>
      </c>
    </row>
    <row r="29" spans="4:30" x14ac:dyDescent="0.3">
      <c r="D29" s="84" t="s">
        <v>215</v>
      </c>
      <c r="E29" s="13"/>
      <c r="F29" s="13"/>
      <c r="G29" s="13"/>
      <c r="I29" s="20" t="s">
        <v>133</v>
      </c>
      <c r="K29" s="71">
        <f>HistoricalData!U202*(1+L29)</f>
      </c>
      <c r="L29" s="23">
        <f>IFERROR(HistoricalData!Y202/HistoricalData!U202-1, 0)</f>
      </c>
      <c r="M29" s="23">
        <f>IFERROR(HistoricalData!Z202/HistoricalData!Y202-1, 0)</f>
      </c>
      <c r="P29" s="84" t="s">
        <v>228</v>
      </c>
      <c r="Q29" s="13"/>
      <c r="R29" s="20" t="s">
        <v>134</v>
      </c>
      <c r="S29" s="71">
        <f>HistoricalData!U192*(1+T29)</f>
      </c>
      <c r="T29" s="23">
        <f>IFERROR(HistoricalData!Y192/HistoricalData!U192-1, 0)</f>
      </c>
      <c r="U29" s="23">
        <f>IFERROR(HistoricalData!Z192/HistoricalData!Y192-1, 0)</f>
      </c>
    </row>
    <row r="30" spans="4:30" x14ac:dyDescent="0.3">
      <c r="D30" s="84" t="s">
        <v>216</v>
      </c>
      <c r="E30" s="13"/>
      <c r="F30" s="13"/>
      <c r="G30" s="13"/>
      <c r="I30" s="20" t="s">
        <v>133</v>
      </c>
      <c r="K30" s="71">
        <f>HistoricalData!U203*(1+L30)</f>
      </c>
      <c r="L30" s="23">
        <f>IFERROR(HistoricalData!Y203/HistoricalData!U203-1, 0)</f>
      </c>
      <c r="M30" s="23">
        <f>IFERROR(HistoricalData!Z203/HistoricalData!Y203-1, 0)</f>
      </c>
      <c r="P30" s="84" t="s">
        <v>219</v>
      </c>
      <c r="Q30" s="13"/>
      <c r="R30" s="20" t="s">
        <v>134</v>
      </c>
      <c r="S30" s="71">
        <f>HistoricalData!U193*(1+T30)</f>
      </c>
      <c r="T30" s="23">
        <f>IFERROR(HistoricalData!Y193/HistoricalData!U193-1, 0)</f>
      </c>
      <c r="U30" s="23">
        <f>IFERROR(HistoricalData!Z193/HistoricalData!Y193-1, 0)</f>
      </c>
    </row>
    <row r="31" spans="4:30" ht="15.9" customHeight="1" x14ac:dyDescent="0.3">
      <c r="D31" s="2" t="s">
        <v>223</v>
      </c>
      <c r="I31" s="20" t="s">
        <v>133</v>
      </c>
      <c r="K31" s="90">
        <f>HistoricalData!U204*(1+L31)</f>
      </c>
      <c r="L31" s="168">
        <f>IFERROR(HistoricalData!Y204/HistoricalData!U204-1, 0)</f>
      </c>
      <c r="M31" s="168">
        <f>IFERROR(HistoricalData!Z204/HistoricalData!Y204-1, 0)</f>
      </c>
      <c r="P31" s="2" t="s">
        <v>224</v>
      </c>
      <c r="R31" s="20" t="s">
        <v>134</v>
      </c>
      <c r="S31" s="90">
        <f>HistoricalData!U194*(1+T31)</f>
      </c>
      <c r="T31" s="168">
        <f>IFERROR(HistoricalData!Y194/HistoricalData!U194-1, 0)</f>
      </c>
      <c r="U31" s="168">
        <f>IFERROR(HistoricalData!Z194/HistoricalData!Y194-1, 0)</f>
      </c>
    </row>
    <row r="34" spans="4:29" ht="15" thickBot="1" x14ac:dyDescent="0.35">
      <c r="D34" s="60" t="s">
        <v>168</v>
      </c>
      <c r="E34" s="41"/>
      <c r="F34" s="41"/>
      <c r="G34" s="41"/>
      <c r="P34" s="60" t="s">
        <v>5</v>
      </c>
      <c r="Q34" s="41"/>
      <c r="Y34" s="60" t="s">
        <v>593</v>
      </c>
      <c r="Z34" s="41"/>
      <c r="AA34" s="41"/>
    </row>
    <row r="35" spans="4:29" x14ac:dyDescent="0.3">
      <c r="D35" t="s">
        <v>169</v>
      </c>
      <c r="K35" s="23">
        <f>IFERROR(HistoricalData!U629, 7%)</f>
      </c>
      <c r="P35" t="s">
        <v>174</v>
      </c>
      <c r="U35" s="221" t="s">
        <v>175</v>
      </c>
      <c r="Y35" t="s">
        <v>169</v>
      </c>
      <c r="AC35" s="58">
        <f>IFERROR(HistoricalData!U629, 7%)</f>
      </c>
    </row>
    <row r="36" spans="4:29" x14ac:dyDescent="0.3">
      <c r="D36" t="s">
        <v>170</v>
      </c>
      <c r="K36" s="23">
        <f>IFERROR(HistoricalData!$U$639, 9.5%)</f>
      </c>
      <c r="P36" t="s">
        <v>172</v>
      </c>
      <c r="U36" s="57">
        <f>HistoricalData!$U$560</f>
      </c>
      <c r="Y36" t="s">
        <v>170</v>
      </c>
      <c r="AC36" s="58">
        <f>IFERROR(HistoricalData!$U$639, 9.5%)</f>
      </c>
    </row>
    <row r="37" spans="4:29" x14ac:dyDescent="0.3">
      <c r="D37" t="s">
        <v>171</v>
      </c>
      <c r="K37" s="23">
        <f>IFERROR(HistoricalData!$U$639, 9.5%)</f>
      </c>
      <c r="P37" t="s">
        <v>173</v>
      </c>
      <c r="U37" s="57">
        <f>HistoricalData!$U$560</f>
      </c>
      <c r="Y37" t="s">
        <v>171</v>
      </c>
      <c r="AC37" s="58">
        <f>IFERROR(HistoricalData!$U$639, 9.5%)</f>
      </c>
    </row>
    <row r="39" spans="4:29" ht="3" customHeight="1" x14ac:dyDescent="0.3"/>
    <row r="40" spans="4:29" ht="15.9" customHeight="1" thickBot="1" x14ac:dyDescent="0.35">
      <c r="D40" s="60" t="s">
        <v>139</v>
      </c>
      <c r="E40" s="41"/>
      <c r="F40" s="41"/>
      <c r="G40" s="41"/>
      <c r="K40" s="17" t="str">
        <f>L88</f>
      </c>
      <c r="P40" s="60" t="s">
        <v>87</v>
      </c>
      <c r="Q40" s="41"/>
    </row>
    <row r="41" spans="4:29" ht="15" thickBot="1" x14ac:dyDescent="0.35">
      <c r="D41" t="s">
        <v>176</v>
      </c>
      <c r="F41" s="15"/>
      <c r="K41" s="82">
        <f>HistoricalData!AH37</f>
      </c>
      <c r="P41" t="s">
        <v>177</v>
      </c>
      <c r="U41" s="61">
        <f>HistoricalData!U394</f>
      </c>
    </row>
    <row r="42" spans="4:29" ht="15" thickBot="1" x14ac:dyDescent="0.35">
      <c r="D42" t="s">
        <v>187</v>
      </c>
      <c r="K42" s="226" t="s">
        <v>185</v>
      </c>
      <c r="P42" t="s">
        <v>178</v>
      </c>
      <c r="U42" s="59">
        <f>HistoricalData!U391</f>
      </c>
    </row>
    <row r="43" spans="4:29" ht="15" thickBot="1" x14ac:dyDescent="0.35">
      <c r="D43" t="s">
        <v>186</v>
      </c>
      <c r="F43" s="50"/>
      <c r="K43" s="247">
        <v>1</v>
      </c>
      <c r="P43" t="s">
        <v>179</v>
      </c>
      <c r="U43" s="23">
        <f>IFERROR(AVERAGE(HistoricalData!T653:U653), 0)</f>
      </c>
    </row>
    <row r="44" spans="4:29" ht="15" thickBot="1" x14ac:dyDescent="0.35">
      <c r="D44" t="s">
        <v>188</v>
      </c>
      <c r="K44" s="226" t="s">
        <v>612</v>
      </c>
      <c r="P44" t="s">
        <v>376</v>
      </c>
      <c r="U44" s="23">
        <v>0.05</v>
      </c>
    </row>
    <row r="45" spans="4:29" x14ac:dyDescent="0.3">
      <c r="P45" t="s">
        <v>580</v>
      </c>
      <c r="U45" s="23">
        <v>0.12</v>
      </c>
    </row>
    <row r="49" spans="2:22" ht="18" x14ac:dyDescent="0.35">
      <c r="B49" s="148" t="str">
        <f>$K$10</f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2:22" ht="18" thickBot="1" x14ac:dyDescent="0.35">
      <c r="B50" s="47" t="s">
        <v>146</v>
      </c>
      <c r="C50" s="48"/>
      <c r="D50" s="48"/>
      <c r="E50" s="48"/>
      <c r="F50" s="48"/>
      <c r="G50" s="48"/>
      <c r="H50" s="49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spans="2:22" ht="15" thickBot="1" x14ac:dyDescent="0.35">
      <c r="C51" s="2"/>
      <c r="D51" s="2"/>
      <c r="E51" s="2"/>
      <c r="F51" s="2"/>
      <c r="L51" s="42" t="s">
        <v>141</v>
      </c>
      <c r="M51" s="42"/>
      <c r="N51" s="42"/>
      <c r="O51" s="42"/>
      <c r="P51" s="42"/>
      <c r="Q51" s="42"/>
      <c r="R51" s="42"/>
      <c r="S51" s="42"/>
      <c r="T51" s="42"/>
      <c r="U51" s="42"/>
    </row>
    <row r="52" spans="2:22" ht="16.2" thickTop="1" x14ac:dyDescent="0.3">
      <c r="C52" s="43" t="s">
        <v>389</v>
      </c>
      <c r="D52" s="43"/>
      <c r="E52" s="43"/>
      <c r="F52" s="43"/>
      <c r="G52" s="43"/>
      <c r="H52" s="44"/>
      <c r="I52" s="44"/>
      <c r="J52" s="44"/>
      <c r="K52" s="44" t="str">
        <f>"FY"&amp;TEXT(DATE(YEAR('Data Sheet'!K16)+(MONTH('Data Sheet'!K16)&gt;3),1,1),"YY")</f>
      </c>
      <c r="L52" s="44" t="str">
        <f t="shared" ref="L52" si="0">"FY"&amp;TEXT(RIGHT(K52,2)+COLUMN()-COLUMN(K52),"00")</f>
      </c>
      <c r="M52" s="44" t="str">
        <f t="shared" ref="M52" si="1">"FY"&amp;TEXT(RIGHT(L52,2)+COLUMN()-COLUMN(L52),"00")</f>
      </c>
      <c r="N52" s="44" t="str">
        <f t="shared" ref="N52" si="2">"FY"&amp;TEXT(RIGHT(M52,2)+COLUMN()-COLUMN(M52),"00")</f>
      </c>
      <c r="O52" s="44" t="str">
        <f t="shared" ref="O52" si="3">"FY"&amp;TEXT(RIGHT(N52,2)+COLUMN()-COLUMN(N52),"00")</f>
      </c>
      <c r="P52" s="44" t="str">
        <f t="shared" ref="P52" si="4">"FY"&amp;TEXT(RIGHT(O52,2)+COLUMN()-COLUMN(O52),"00")</f>
      </c>
      <c r="Q52" s="44" t="str">
        <f t="shared" ref="Q52" si="5">"FY"&amp;TEXT(RIGHT(P52,2)+COLUMN()-COLUMN(P52),"00")</f>
      </c>
      <c r="R52" s="44" t="str">
        <f t="shared" ref="R52" si="6">"FY"&amp;TEXT(RIGHT(Q52,2)+COLUMN()-COLUMN(Q52),"00")</f>
      </c>
      <c r="S52" s="44" t="str">
        <f t="shared" ref="S52" si="7">"FY"&amp;TEXT(RIGHT(R52,2)+COLUMN()-COLUMN(R52),"00")</f>
      </c>
      <c r="T52" s="44" t="str">
        <f t="shared" ref="T52" si="8">"FY"&amp;TEXT(RIGHT(S52,2)+COLUMN()-COLUMN(S52),"00")</f>
      </c>
      <c r="U52" s="44" t="str">
        <f t="shared" ref="U52" si="9">"FY"&amp;TEXT(RIGHT(T52,2)+COLUMN()-COLUMN(T52),"00")</f>
      </c>
    </row>
    <row r="53" spans="2:22" ht="3" customHeight="1" x14ac:dyDescent="0.3"/>
    <row r="54" spans="2:22" ht="3" customHeight="1" x14ac:dyDescent="0.3"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2:22" ht="3" customHeight="1" x14ac:dyDescent="0.3"/>
    <row r="56" spans="2:22" x14ac:dyDescent="0.3">
      <c r="C56" s="2" t="s">
        <v>71</v>
      </c>
    </row>
    <row r="57" spans="2:22" x14ac:dyDescent="0.3">
      <c r="D57" t="s">
        <v>147</v>
      </c>
      <c r="H57" s="20" t="s">
        <v>134</v>
      </c>
      <c r="K57" s="39"/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</row>
    <row r="59" spans="2:22" x14ac:dyDescent="0.3">
      <c r="C59" s="2" t="s">
        <v>148</v>
      </c>
    </row>
    <row r="60" spans="2:22" x14ac:dyDescent="0.3">
      <c r="D60" t="s">
        <v>149</v>
      </c>
      <c r="H60" s="20" t="s">
        <v>134</v>
      </c>
      <c r="K60" s="39"/>
      <c r="L60" s="56">
        <v>0</v>
      </c>
      <c r="M60" s="56">
        <v>0</v>
      </c>
      <c r="N60" s="56">
        <v>0</v>
      </c>
      <c r="O60" s="56">
        <v>0</v>
      </c>
      <c r="P60" s="56">
        <v>0</v>
      </c>
      <c r="Q60" s="56">
        <v>0</v>
      </c>
      <c r="R60" s="56">
        <v>0</v>
      </c>
      <c r="S60" s="56">
        <v>0</v>
      </c>
      <c r="T60" s="56">
        <v>0</v>
      </c>
      <c r="U60" s="56">
        <v>0</v>
      </c>
    </row>
    <row r="62" spans="2:22" x14ac:dyDescent="0.3">
      <c r="C62" s="2" t="s">
        <v>150</v>
      </c>
      <c r="H62" s="20" t="s">
        <v>134</v>
      </c>
      <c r="K62" s="39"/>
      <c r="L62" s="56">
        <f>-HistoricalData!Y421</f>
      </c>
      <c r="M62" s="56">
        <f>-HistoricalData!Z421</f>
      </c>
      <c r="N62" s="56">
        <f>-HistoricalData!AA421</f>
      </c>
      <c r="O62" s="56">
        <f>-HistoricalData!AB421</f>
      </c>
      <c r="P62" s="56">
        <f>-HistoricalData!AC421</f>
      </c>
      <c r="Q62" s="56">
        <f>-HistoricalData!AD421</f>
      </c>
      <c r="R62" s="56">
        <f>-HistoricalData!AE421</f>
      </c>
      <c r="S62" s="56">
        <f>-HistoricalData!AF421</f>
      </c>
      <c r="T62" s="56">
        <f>-HistoricalData!AG421</f>
      </c>
      <c r="U62" s="56">
        <f>-HistoricalData!AH421</f>
      </c>
    </row>
    <row r="64" spans="2:22" x14ac:dyDescent="0.3">
      <c r="C64" s="2" t="s">
        <v>151</v>
      </c>
    </row>
    <row r="65" spans="3:21" x14ac:dyDescent="0.3">
      <c r="D65" t="s">
        <v>152</v>
      </c>
      <c r="H65" s="20" t="s">
        <v>134</v>
      </c>
      <c r="L65" s="56">
        <f>IFERROR(IF(HistoricalData!Y571&gt;0, HistoricalData!Y568/HistoricalData!Y570, (HistoricalData!Y336*10%)), 0)</f>
      </c>
      <c r="M65" s="56">
        <f>IFERROR(IF(HistoricalData!Z571&gt;0, HistoricalData!Z568/HistoricalData!Z570, (HistoricalData!Z336*10%)), 0)</f>
      </c>
      <c r="N65" s="56">
        <f>IFERROR(IF(HistoricalData!AA571&gt;0, HistoricalData!AA568/HistoricalData!AA570, (HistoricalData!AA336*10%)), 0)</f>
      </c>
      <c r="O65" s="56">
        <f>IFERROR(IF(HistoricalData!AB571&gt;0, HistoricalData!AB568/HistoricalData!AB570, (HistoricalData!AB336*10%)), 0)</f>
      </c>
      <c r="P65" s="56">
        <f>IFERROR(IF(HistoricalData!AC571&gt;0, HistoricalData!AC568/HistoricalData!AC570, (HistoricalData!AC336*10%)), 0)</f>
      </c>
      <c r="Q65" s="56">
        <f>IFERROR(IF(HistoricalData!AD571&gt;0, HistoricalData!AD568/HistoricalData!AD570, (HistoricalData!AD336*10%)), 0)</f>
      </c>
      <c r="R65" s="56">
        <f>IFERROR(IF(HistoricalData!AE571&gt;0, HistoricalData!AE568/HistoricalData!AE570, (HistoricalData!AE336*10%)), 0)</f>
      </c>
      <c r="S65" s="56">
        <f>IFERROR(IF(HistoricalData!AF571&gt;0, HistoricalData!AF568/HistoricalData!AF570, (HistoricalData!AF336*10%)), 0)</f>
      </c>
      <c r="T65" s="56">
        <f>IFERROR(IF(HistoricalData!AG571&gt;0, HistoricalData!AG568/HistoricalData!AG570, (HistoricalData!AG336*10%)), 0)</f>
      </c>
      <c r="U65" s="56">
        <f>IFERROR(IF(HistoricalData!AH571&gt;0, HistoricalData!AH568/HistoricalData!AH570, (HistoricalData!AH336*10%)), 0)</f>
      </c>
    </row>
    <row r="66" spans="3:21" x14ac:dyDescent="0.3">
      <c r="D66" s="20" t="s">
        <v>153</v>
      </c>
    </row>
    <row r="67" spans="3:21" x14ac:dyDescent="0.3">
      <c r="D67" s="20"/>
    </row>
    <row r="68" spans="3:21" x14ac:dyDescent="0.3">
      <c r="C68" s="2" t="s">
        <v>154</v>
      </c>
    </row>
    <row r="69" spans="3:21" x14ac:dyDescent="0.3">
      <c r="D69" t="s">
        <v>155</v>
      </c>
      <c r="H69" s="20" t="s">
        <v>156</v>
      </c>
      <c r="K69" s="39"/>
      <c r="L69" s="56">
        <f>HistoricalData!Y599</f>
      </c>
      <c r="M69" s="56">
        <f>HistoricalData!Z599</f>
      </c>
      <c r="N69" s="56">
        <f>M69</f>
      </c>
      <c r="O69" s="56">
        <f t="shared" ref="O69:U69" si="10">N69</f>
      </c>
      <c r="P69" s="56">
        <f t="shared" si="10"/>
      </c>
      <c r="Q69" s="56">
        <f t="shared" si="10"/>
      </c>
      <c r="R69" s="56">
        <f t="shared" si="10"/>
      </c>
      <c r="S69" s="56">
        <f t="shared" si="10"/>
      </c>
      <c r="T69" s="56">
        <f t="shared" si="10"/>
      </c>
      <c r="U69" s="56">
        <f t="shared" si="10"/>
      </c>
    </row>
    <row r="70" spans="3:21" x14ac:dyDescent="0.3">
      <c r="D70" t="s">
        <v>92</v>
      </c>
      <c r="H70" s="20" t="s">
        <v>156</v>
      </c>
      <c r="K70" s="39"/>
      <c r="L70" s="56">
        <f>HistoricalData!Y600</f>
      </c>
      <c r="M70" s="56">
        <f>HistoricalData!Z600</f>
      </c>
      <c r="N70" s="56">
        <f t="shared" ref="N70:U70" si="11">M70</f>
      </c>
      <c r="O70" s="56">
        <f t="shared" si="11"/>
      </c>
      <c r="P70" s="56">
        <f t="shared" si="11"/>
      </c>
      <c r="Q70" s="56">
        <f t="shared" si="11"/>
      </c>
      <c r="R70" s="56">
        <f t="shared" si="11"/>
      </c>
      <c r="S70" s="56">
        <f t="shared" si="11"/>
      </c>
      <c r="T70" s="56">
        <f t="shared" si="11"/>
      </c>
      <c r="U70" s="56">
        <f t="shared" si="11"/>
      </c>
    </row>
    <row r="71" spans="3:21" x14ac:dyDescent="0.3">
      <c r="D71" t="s">
        <v>95</v>
      </c>
      <c r="H71" s="20" t="s">
        <v>156</v>
      </c>
      <c r="K71" s="39"/>
      <c r="L71" s="56">
        <f>HistoricalData!Y601</f>
      </c>
      <c r="M71" s="56">
        <f>HistoricalData!Z601</f>
      </c>
      <c r="N71" s="56">
        <f t="shared" ref="N71:U71" si="12">M71</f>
      </c>
      <c r="O71" s="56">
        <f t="shared" si="12"/>
      </c>
      <c r="P71" s="56">
        <f t="shared" si="12"/>
      </c>
      <c r="Q71" s="56">
        <f t="shared" si="12"/>
      </c>
      <c r="R71" s="56">
        <f t="shared" si="12"/>
      </c>
      <c r="S71" s="56">
        <f t="shared" si="12"/>
      </c>
      <c r="T71" s="56">
        <f t="shared" si="12"/>
      </c>
      <c r="U71" s="56">
        <f t="shared" si="12"/>
      </c>
    </row>
    <row r="72" spans="3:21" x14ac:dyDescent="0.3">
      <c r="D72" t="s">
        <v>50</v>
      </c>
      <c r="H72" s="20" t="s">
        <v>156</v>
      </c>
      <c r="K72" s="39"/>
      <c r="L72" s="56">
        <f>HistoricalData!Y602</f>
      </c>
      <c r="M72" s="56">
        <f>HistoricalData!Z602</f>
      </c>
      <c r="N72" s="56">
        <f t="shared" ref="N72:U72" si="13">M72</f>
      </c>
      <c r="O72" s="56">
        <f t="shared" si="13"/>
      </c>
      <c r="P72" s="56">
        <f t="shared" si="13"/>
      </c>
      <c r="Q72" s="56">
        <f t="shared" si="13"/>
      </c>
      <c r="R72" s="56">
        <f t="shared" si="13"/>
      </c>
      <c r="S72" s="56">
        <f t="shared" si="13"/>
      </c>
      <c r="T72" s="56">
        <f t="shared" si="13"/>
      </c>
      <c r="U72" s="56">
        <f t="shared" si="13"/>
      </c>
    </row>
    <row r="73" spans="3:21" x14ac:dyDescent="0.3">
      <c r="D73" t="s">
        <v>157</v>
      </c>
      <c r="H73" s="20" t="s">
        <v>156</v>
      </c>
      <c r="K73" s="39"/>
      <c r="L73" s="56">
        <f>HistoricalData!Y603</f>
      </c>
      <c r="M73" s="56">
        <f>HistoricalData!Z603</f>
      </c>
      <c r="N73" s="56">
        <f t="shared" ref="N73:U73" si="14">M73</f>
      </c>
      <c r="O73" s="56">
        <f t="shared" si="14"/>
      </c>
      <c r="P73" s="56">
        <f t="shared" si="14"/>
      </c>
      <c r="Q73" s="56">
        <f t="shared" si="14"/>
      </c>
      <c r="R73" s="56">
        <f t="shared" si="14"/>
      </c>
      <c r="S73" s="56">
        <f t="shared" si="14"/>
      </c>
      <c r="T73" s="56">
        <f t="shared" si="14"/>
      </c>
      <c r="U73" s="56">
        <f t="shared" si="14"/>
      </c>
    </row>
    <row r="74" spans="3:21" x14ac:dyDescent="0.3">
      <c r="D74" t="s">
        <v>49</v>
      </c>
      <c r="H74" s="20" t="s">
        <v>156</v>
      </c>
      <c r="K74" s="39"/>
      <c r="L74" s="56">
        <f>HistoricalData!Y604</f>
      </c>
      <c r="M74" s="56">
        <f>HistoricalData!Z604</f>
      </c>
      <c r="N74" s="56">
        <f t="shared" ref="N74:U74" si="15">M74</f>
      </c>
      <c r="O74" s="56">
        <f t="shared" si="15"/>
      </c>
      <c r="P74" s="56">
        <f t="shared" si="15"/>
      </c>
      <c r="Q74" s="56">
        <f t="shared" si="15"/>
      </c>
      <c r="R74" s="56">
        <f t="shared" si="15"/>
      </c>
      <c r="S74" s="56">
        <f t="shared" si="15"/>
      </c>
      <c r="T74" s="56">
        <f t="shared" si="15"/>
      </c>
      <c r="U74" s="56">
        <f t="shared" si="15"/>
      </c>
    </row>
    <row r="76" spans="3:21" x14ac:dyDescent="0.3">
      <c r="C76" s="2" t="s">
        <v>158</v>
      </c>
    </row>
    <row r="77" spans="3:21" x14ac:dyDescent="0.3">
      <c r="D77" t="s">
        <v>159</v>
      </c>
      <c r="H77" s="20" t="s">
        <v>134</v>
      </c>
      <c r="K77" s="39"/>
      <c r="L77" s="56"/>
      <c r="M77" s="56"/>
      <c r="N77" s="56"/>
      <c r="O77" s="56"/>
      <c r="P77" s="56"/>
      <c r="Q77" s="56"/>
      <c r="R77" s="56"/>
      <c r="S77" s="56"/>
      <c r="T77" s="56"/>
      <c r="U77" s="56"/>
    </row>
    <row r="78" spans="3:21" x14ac:dyDescent="0.3">
      <c r="D78" t="s">
        <v>160</v>
      </c>
      <c r="H78" s="20"/>
      <c r="J78" s="20"/>
    </row>
    <row r="79" spans="3:21" x14ac:dyDescent="0.3">
      <c r="D79" t="s">
        <v>161</v>
      </c>
      <c r="H79" s="20" t="s">
        <v>134</v>
      </c>
      <c r="K79" s="39"/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</v>
      </c>
      <c r="S79" s="56">
        <v>0</v>
      </c>
      <c r="T79" s="56">
        <v>0</v>
      </c>
      <c r="U79" s="56">
        <v>0</v>
      </c>
    </row>
    <row r="80" spans="3:21" x14ac:dyDescent="0.3">
      <c r="D80" t="s">
        <v>162</v>
      </c>
      <c r="H80" s="20"/>
    </row>
    <row r="81" spans="2:43" x14ac:dyDescent="0.3">
      <c r="D81" t="s">
        <v>17</v>
      </c>
      <c r="H81" s="20" t="s">
        <v>133</v>
      </c>
      <c r="L81" s="56">
        <v>1</v>
      </c>
      <c r="M81" s="56">
        <v>1</v>
      </c>
      <c r="N81" s="56">
        <v>1</v>
      </c>
      <c r="O81" s="56">
        <v>1</v>
      </c>
      <c r="P81" s="56">
        <v>1</v>
      </c>
      <c r="Q81" s="56">
        <v>1</v>
      </c>
      <c r="R81" s="56">
        <v>1</v>
      </c>
      <c r="S81" s="56">
        <v>1</v>
      </c>
      <c r="T81" s="56">
        <v>1</v>
      </c>
      <c r="U81" s="56">
        <v>1</v>
      </c>
    </row>
    <row r="85" spans="2:43" ht="18" x14ac:dyDescent="0.35">
      <c r="B85" s="148" t="str">
        <f>$K$10</f>
      </c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</row>
    <row r="86" spans="2:43" ht="18" thickBot="1" x14ac:dyDescent="0.35">
      <c r="B86" s="47" t="s">
        <v>392</v>
      </c>
      <c r="C86" s="48"/>
      <c r="D86" s="48"/>
      <c r="E86" s="48"/>
      <c r="F86" s="48"/>
      <c r="G86" s="48"/>
      <c r="H86" s="49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spans="2:43" ht="15" thickBot="1" x14ac:dyDescent="0.35">
      <c r="C87" s="2"/>
      <c r="D87" s="2"/>
      <c r="E87" s="2"/>
      <c r="F87" s="2"/>
      <c r="L87" s="42" t="s">
        <v>141</v>
      </c>
      <c r="M87" s="42"/>
      <c r="N87" s="42"/>
      <c r="O87" s="42"/>
      <c r="P87" s="42"/>
      <c r="Q87" s="42"/>
      <c r="R87" s="42"/>
      <c r="S87" s="42"/>
      <c r="T87" s="42"/>
      <c r="U87" s="42"/>
    </row>
    <row r="88" spans="2:43" ht="16.2" thickTop="1" x14ac:dyDescent="0.3">
      <c r="C88" s="43" t="s">
        <v>142</v>
      </c>
      <c r="D88" s="43"/>
      <c r="E88" s="43"/>
      <c r="F88" s="43"/>
      <c r="G88" s="43"/>
      <c r="H88" s="44">
        <v>1</v>
      </c>
      <c r="I88" s="44"/>
      <c r="J88" s="44"/>
      <c r="K88" s="44" t="str">
        <f>"FY"&amp;TEXT(DATE(YEAR('Data Sheet'!K16)+(MONTH('Data Sheet'!K16)&gt;3),1,1),"YY")</f>
      </c>
      <c r="L88" s="44" t="str">
        <f t="shared" ref="L88:U88" si="16">"FY"&amp;TEXT(RIGHT(K88,2)+COLUMN()-COLUMN(K88),"00")</f>
      </c>
      <c r="M88" s="44" t="str">
        <f t="shared" si="16"/>
      </c>
      <c r="N88" s="44" t="str">
        <f t="shared" si="16"/>
      </c>
      <c r="O88" s="44" t="str">
        <f t="shared" si="16"/>
      </c>
      <c r="P88" s="44" t="str">
        <f t="shared" si="16"/>
      </c>
      <c r="Q88" s="44" t="str">
        <f t="shared" si="16"/>
      </c>
      <c r="R88" s="44" t="str">
        <f t="shared" si="16"/>
      </c>
      <c r="S88" s="44" t="str">
        <f t="shared" si="16"/>
      </c>
      <c r="T88" s="44" t="str">
        <f t="shared" si="16"/>
      </c>
      <c r="U88" s="44" t="str">
        <f t="shared" si="16"/>
      </c>
    </row>
    <row r="89" spans="2:43" ht="3" customHeight="1" x14ac:dyDescent="0.3"/>
    <row r="90" spans="2:43" ht="3" customHeight="1" x14ac:dyDescent="0.3"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2:43" ht="3" customHeight="1" x14ac:dyDescent="0.3"/>
    <row r="92" spans="2:43" ht="18" x14ac:dyDescent="0.35">
      <c r="C92" s="24" t="s">
        <v>135</v>
      </c>
    </row>
    <row r="93" spans="2:43" s="30" customFormat="1" ht="4.3499999999999996" customHeight="1" x14ac:dyDescent="0.25">
      <c r="B93" s="29"/>
      <c r="D93" s="31"/>
      <c r="E93" s="31"/>
      <c r="G93" s="32"/>
      <c r="H93" s="33"/>
      <c r="L93" s="34"/>
      <c r="M93" s="34"/>
      <c r="N93" s="34"/>
      <c r="O93" s="35"/>
      <c r="P93" s="35"/>
      <c r="Q93" s="35"/>
      <c r="R93" s="35"/>
      <c r="S93" s="35"/>
      <c r="T93" s="35"/>
      <c r="U93" s="35"/>
      <c r="X93" s="29"/>
      <c r="Z93" s="31"/>
      <c r="AA93" s="31"/>
      <c r="AC93" s="32"/>
      <c r="AD93" s="33"/>
      <c r="AH93" s="34"/>
      <c r="AI93" s="34"/>
      <c r="AJ93" s="34"/>
      <c r="AK93" s="35"/>
      <c r="AL93" s="35"/>
      <c r="AM93" s="35"/>
      <c r="AN93" s="35"/>
      <c r="AO93" s="35"/>
      <c r="AP93" s="35"/>
      <c r="AQ93" s="35"/>
    </row>
    <row r="94" spans="2:43" x14ac:dyDescent="0.3">
      <c r="C94" s="2" t="s">
        <v>395</v>
      </c>
      <c r="H94" s="19" t="s">
        <v>396</v>
      </c>
      <c r="K94" s="25"/>
      <c r="L94" s="26" cm="1">
        <f t="array" ref="L94">INDEX(L96:L98,$H$88)</f>
      </c>
      <c r="M94" s="27" cm="1">
        <f t="array" ref="M94">INDEX(M96:M98,$H$88)</f>
      </c>
      <c r="N94" s="27" cm="1">
        <f t="array" ref="N94">INDEX(N96:N98,$H$88)</f>
      </c>
      <c r="O94" s="27" cm="1">
        <f t="array" ref="O94">INDEX(O96:O98,$H$88)</f>
      </c>
      <c r="P94" s="27" cm="1">
        <f t="array" ref="P94">INDEX(P96:P98,$H$88)</f>
      </c>
      <c r="Q94" s="27" cm="1">
        <f t="array" ref="Q94">INDEX(Q96:Q98,$H$88)</f>
      </c>
      <c r="R94" s="27" cm="1">
        <f t="array" ref="R94">INDEX(R96:R98,$H$88)</f>
      </c>
      <c r="S94" s="27" cm="1">
        <f t="array" ref="S94">INDEX(S96:S98,$H$88)</f>
      </c>
      <c r="T94" s="27" cm="1">
        <f t="array" ref="T94">INDEX(T96:T98,$H$88)</f>
      </c>
      <c r="U94" s="28" cm="1">
        <f t="array" ref="U94">INDEX(U96:U98,$H$88)</f>
      </c>
    </row>
    <row r="95" spans="2:43" s="30" customFormat="1" ht="4.3499999999999996" customHeight="1" x14ac:dyDescent="0.25">
      <c r="B95" s="29"/>
      <c r="D95" s="31"/>
      <c r="E95" s="31"/>
      <c r="G95" s="32"/>
      <c r="H95" s="33"/>
      <c r="L95" s="34"/>
      <c r="M95" s="34"/>
      <c r="N95" s="34"/>
      <c r="O95" s="35"/>
      <c r="P95" s="35"/>
      <c r="Q95" s="35"/>
      <c r="R95" s="35"/>
      <c r="S95" s="35"/>
      <c r="T95" s="35"/>
      <c r="U95" s="35"/>
      <c r="X95" s="29"/>
      <c r="Z95" s="31"/>
      <c r="AA95" s="31"/>
      <c r="AC95" s="32"/>
      <c r="AD95" s="33"/>
      <c r="AH95" s="34"/>
      <c r="AI95" s="34"/>
      <c r="AJ95" s="34"/>
      <c r="AK95" s="35"/>
      <c r="AL95" s="35"/>
      <c r="AM95" s="35"/>
      <c r="AN95" s="35"/>
      <c r="AO95" s="35"/>
      <c r="AP95" s="35"/>
      <c r="AQ95" s="35"/>
    </row>
    <row r="96" spans="2:43" x14ac:dyDescent="0.3">
      <c r="B96" s="29"/>
      <c r="D96" t="s">
        <v>136</v>
      </c>
      <c r="H96" s="84"/>
      <c r="K96" s="25"/>
      <c r="L96" s="51">
        <f>L31</f>
      </c>
      <c r="M96" s="52">
        <f>M31</f>
      </c>
      <c r="N96" s="52">
        <f>HistoricalData!AA288</f>
      </c>
      <c r="O96" s="52">
        <f>HistoricalData!AB288</f>
      </c>
      <c r="P96" s="52">
        <f>HistoricalData!AC288</f>
      </c>
      <c r="Q96" s="52">
        <f>HistoricalData!AD288</f>
      </c>
      <c r="R96" s="52">
        <f>HistoricalData!AE288</f>
      </c>
      <c r="S96" s="52">
        <f>HistoricalData!AF288</f>
      </c>
      <c r="T96" s="52">
        <f>HistoricalData!AG288</f>
      </c>
      <c r="U96" s="53">
        <f>HistoricalData!AH288</f>
      </c>
      <c r="V96" s="30"/>
    </row>
    <row r="97" spans="1:43" x14ac:dyDescent="0.3">
      <c r="A97" s="22">
        <v>-5.0000000000000001E-3</v>
      </c>
      <c r="D97" t="str">
        <f>"Best Case ("&amp;TEXT(A97*100,"0.00")&amp;"%)"</f>
      </c>
      <c r="H97" s="84"/>
      <c r="K97" s="25"/>
      <c r="L97" s="65">
        <f>L$96+$A97</f>
      </c>
      <c r="M97" s="58">
        <f t="shared" ref="M97:U98" si="17">M$96+$A97</f>
      </c>
      <c r="N97" s="58">
        <f t="shared" si="17"/>
      </c>
      <c r="O97" s="58">
        <f t="shared" si="17"/>
      </c>
      <c r="P97" s="58">
        <f t="shared" si="17"/>
      </c>
      <c r="Q97" s="58">
        <f t="shared" si="17"/>
      </c>
      <c r="R97" s="58">
        <f t="shared" si="17"/>
      </c>
      <c r="S97" s="58">
        <f t="shared" si="17"/>
      </c>
      <c r="T97" s="58">
        <f t="shared" si="17"/>
      </c>
      <c r="U97" s="66">
        <f t="shared" si="17"/>
      </c>
    </row>
    <row r="98" spans="1:43" x14ac:dyDescent="0.3">
      <c r="A98" s="22">
        <v>5.0000000000000001E-3</v>
      </c>
      <c r="D98" t="str">
        <f>"Worst Case ("&amp;TEXT(A98*100,"0.00")&amp;"%)"</f>
      </c>
      <c r="K98" s="25"/>
      <c r="L98" s="67">
        <f t="shared" ref="L98" si="18">L$96+$A98</f>
      </c>
      <c r="M98" s="68">
        <f t="shared" si="17"/>
      </c>
      <c r="N98" s="68">
        <f t="shared" si="17"/>
      </c>
      <c r="O98" s="68">
        <f t="shared" si="17"/>
      </c>
      <c r="P98" s="68">
        <f t="shared" si="17"/>
      </c>
      <c r="Q98" s="68">
        <f t="shared" si="17"/>
      </c>
      <c r="R98" s="68">
        <f t="shared" si="17"/>
      </c>
      <c r="S98" s="68">
        <f t="shared" si="17"/>
      </c>
      <c r="T98" s="68">
        <f t="shared" si="17"/>
      </c>
      <c r="U98" s="69">
        <f t="shared" si="17"/>
      </c>
    </row>
    <row r="99" spans="1:43" s="30" customFormat="1" ht="6" customHeight="1" x14ac:dyDescent="0.25">
      <c r="B99" s="29"/>
      <c r="D99" s="31"/>
      <c r="E99" s="31"/>
      <c r="G99" s="32"/>
      <c r="H99" s="33"/>
      <c r="L99" s="34"/>
      <c r="M99" s="34"/>
      <c r="N99" s="34"/>
      <c r="O99" s="35"/>
      <c r="P99" s="35"/>
      <c r="Q99" s="35"/>
      <c r="R99" s="35"/>
      <c r="S99" s="35"/>
      <c r="T99" s="35"/>
      <c r="U99" s="35"/>
      <c r="X99" s="29"/>
      <c r="Z99" s="31"/>
      <c r="AA99" s="31"/>
      <c r="AC99" s="32"/>
      <c r="AD99" s="33"/>
      <c r="AH99" s="34"/>
      <c r="AI99" s="34"/>
      <c r="AJ99" s="34"/>
      <c r="AK99" s="35"/>
      <c r="AL99" s="35"/>
      <c r="AM99" s="35"/>
      <c r="AN99" s="35"/>
      <c r="AO99" s="35"/>
      <c r="AP99" s="35"/>
      <c r="AQ99" s="35"/>
    </row>
    <row r="100" spans="1:43" x14ac:dyDescent="0.3">
      <c r="C100" s="2" t="s">
        <v>393</v>
      </c>
      <c r="K100" s="25"/>
      <c r="L100" s="26" cm="1">
        <f t="array" ref="L100">INDEX(L102:L104,$H$88)</f>
      </c>
      <c r="M100" s="27" cm="1">
        <f t="array" ref="M100">INDEX(M102:M104,$H$88)</f>
      </c>
      <c r="N100" s="27" cm="1">
        <f t="array" ref="N100">INDEX(N102:N104,$H$88)</f>
      </c>
      <c r="O100" s="27" cm="1">
        <f t="array" ref="O100">INDEX(O102:O104,$H$88)</f>
      </c>
      <c r="P100" s="27" cm="1">
        <f t="array" ref="P100">INDEX(P102:P104,$H$88)</f>
      </c>
      <c r="Q100" s="27" cm="1">
        <f t="array" ref="Q100">INDEX(Q102:Q104,$H$88)</f>
      </c>
      <c r="R100" s="27" cm="1">
        <f t="array" ref="R100">INDEX(R102:R104,$H$88)</f>
      </c>
      <c r="S100" s="27" cm="1">
        <f t="array" ref="S100">INDEX(S102:S104,$H$88)</f>
      </c>
      <c r="T100" s="27" cm="1">
        <f t="array" ref="T100">INDEX(T102:T104,$H$88)</f>
      </c>
      <c r="U100" s="28" cm="1">
        <f t="array" ref="U100">INDEX(U102:U104,$H$88)</f>
      </c>
    </row>
    <row r="101" spans="1:43" s="30" customFormat="1" ht="4.3499999999999996" customHeight="1" x14ac:dyDescent="0.25">
      <c r="B101" s="29"/>
      <c r="D101" s="31"/>
      <c r="E101" s="31"/>
      <c r="G101" s="32"/>
      <c r="H101" s="33"/>
      <c r="L101" s="34"/>
      <c r="M101" s="34"/>
      <c r="N101" s="34"/>
      <c r="O101" s="35"/>
      <c r="P101" s="35"/>
      <c r="Q101" s="35"/>
      <c r="R101" s="35"/>
      <c r="S101" s="35"/>
      <c r="T101" s="35"/>
      <c r="U101" s="35"/>
      <c r="X101" s="29"/>
      <c r="Z101" s="31"/>
      <c r="AA101" s="31"/>
      <c r="AC101" s="32"/>
      <c r="AD101" s="33"/>
      <c r="AH101" s="34"/>
      <c r="AI101" s="34"/>
      <c r="AJ101" s="34"/>
      <c r="AK101" s="35"/>
      <c r="AL101" s="35"/>
      <c r="AM101" s="35"/>
      <c r="AN101" s="35"/>
      <c r="AO101" s="35"/>
      <c r="AP101" s="35"/>
      <c r="AQ101" s="35"/>
    </row>
    <row r="102" spans="1:43" x14ac:dyDescent="0.3">
      <c r="B102" s="29"/>
      <c r="D102" t="s">
        <v>136</v>
      </c>
      <c r="H102" s="84"/>
      <c r="K102" s="25"/>
      <c r="L102" s="51">
        <f>T31</f>
      </c>
      <c r="M102" s="52">
        <f>U31</f>
      </c>
      <c r="N102" s="52">
        <f>HistoricalData!AA293</f>
      </c>
      <c r="O102" s="52">
        <f>HistoricalData!AB293</f>
      </c>
      <c r="P102" s="52">
        <f>HistoricalData!AC293</f>
      </c>
      <c r="Q102" s="52">
        <f>HistoricalData!AD293</f>
      </c>
      <c r="R102" s="52">
        <f>HistoricalData!AE293</f>
      </c>
      <c r="S102" s="52">
        <f>HistoricalData!AF293</f>
      </c>
      <c r="T102" s="52">
        <f>HistoricalData!AG293</f>
      </c>
      <c r="U102" s="53">
        <f>HistoricalData!AH293</f>
      </c>
      <c r="V102" s="30"/>
    </row>
    <row r="103" spans="1:43" x14ac:dyDescent="0.3">
      <c r="A103" s="22">
        <v>-5.0000000000000001E-3</v>
      </c>
      <c r="D103" t="s">
        <v>137</v>
      </c>
      <c r="K103" s="25"/>
      <c r="L103" s="65">
        <f t="shared" ref="L103:U104" si="19">L$102+$A103</f>
      </c>
      <c r="M103" s="58">
        <f t="shared" si="19"/>
      </c>
      <c r="N103" s="58">
        <f t="shared" si="19"/>
      </c>
      <c r="O103" s="58">
        <f t="shared" si="19"/>
      </c>
      <c r="P103" s="58">
        <f t="shared" si="19"/>
      </c>
      <c r="Q103" s="58">
        <f t="shared" si="19"/>
      </c>
      <c r="R103" s="58">
        <f t="shared" si="19"/>
      </c>
      <c r="S103" s="58">
        <f t="shared" si="19"/>
      </c>
      <c r="T103" s="58">
        <f t="shared" si="19"/>
      </c>
      <c r="U103" s="66">
        <f t="shared" si="19"/>
      </c>
    </row>
    <row r="104" spans="1:43" x14ac:dyDescent="0.3">
      <c r="A104" s="22">
        <v>5.0000000000000001E-3</v>
      </c>
      <c r="D104" t="s">
        <v>138</v>
      </c>
      <c r="K104" s="25"/>
      <c r="L104" s="67">
        <f t="shared" si="19"/>
      </c>
      <c r="M104" s="68">
        <f t="shared" si="19"/>
      </c>
      <c r="N104" s="68">
        <f t="shared" si="19"/>
      </c>
      <c r="O104" s="68">
        <f t="shared" si="19"/>
      </c>
      <c r="P104" s="68">
        <f t="shared" si="19"/>
      </c>
      <c r="Q104" s="68">
        <f t="shared" si="19"/>
      </c>
      <c r="R104" s="68">
        <f t="shared" si="19"/>
      </c>
      <c r="S104" s="68">
        <f t="shared" si="19"/>
      </c>
      <c r="T104" s="68">
        <f t="shared" si="19"/>
      </c>
      <c r="U104" s="69">
        <f t="shared" si="19"/>
      </c>
    </row>
    <row r="105" spans="1:43" s="30" customFormat="1" ht="6" customHeight="1" thickBot="1" x14ac:dyDescent="0.3">
      <c r="B105" s="29"/>
      <c r="D105" s="31"/>
      <c r="E105" s="31"/>
      <c r="G105" s="32"/>
      <c r="H105" s="33"/>
      <c r="L105" s="34"/>
      <c r="M105" s="34"/>
      <c r="N105" s="34"/>
      <c r="O105" s="35"/>
      <c r="P105" s="35"/>
      <c r="Q105" s="35"/>
      <c r="R105" s="35"/>
      <c r="S105" s="35"/>
      <c r="T105" s="35"/>
      <c r="U105" s="35"/>
      <c r="X105" s="29"/>
      <c r="Z105" s="31"/>
      <c r="AA105" s="31"/>
      <c r="AC105" s="32"/>
      <c r="AD105" s="33"/>
      <c r="AH105" s="34"/>
      <c r="AI105" s="34"/>
      <c r="AJ105" s="34"/>
      <c r="AK105" s="35"/>
      <c r="AL105" s="35"/>
      <c r="AM105" s="35"/>
      <c r="AN105" s="35"/>
      <c r="AO105" s="35"/>
      <c r="AP105" s="35"/>
      <c r="AQ105" s="35"/>
    </row>
    <row r="106" spans="1:43" ht="15" thickBot="1" x14ac:dyDescent="0.35">
      <c r="C106" s="2" t="s">
        <v>139</v>
      </c>
      <c r="H106" s="81" t="str">
        <f>K42</f>
      </c>
      <c r="K106" s="25"/>
      <c r="L106" s="36" cm="1">
        <f t="array" ref="L106">INDEX(L108:L110,$H$88)</f>
      </c>
      <c r="M106" s="37" cm="1">
        <f t="array" ref="M106">INDEX(M108:M110,$H$88)</f>
      </c>
      <c r="N106" s="37" cm="1">
        <f t="array" ref="N106">INDEX(N108:N110,$H$88)</f>
      </c>
      <c r="O106" s="37" cm="1">
        <f t="array" ref="O106">INDEX(O108:O110,$H$88)</f>
      </c>
      <c r="P106" s="37" cm="1">
        <f t="array" ref="P106">INDEX(P108:P110,$H$88)</f>
      </c>
      <c r="Q106" s="37" cm="1">
        <f t="array" ref="Q106">INDEX(Q108:Q110,$H$88)</f>
      </c>
      <c r="R106" s="37" cm="1">
        <f t="array" ref="R106">INDEX(R108:R110,$H$88)</f>
      </c>
      <c r="S106" s="37" cm="1">
        <f t="array" ref="S106">INDEX(S108:S110,$H$88)</f>
      </c>
      <c r="T106" s="37" cm="1">
        <f t="array" ref="T106">INDEX(T108:T110,$H$88)</f>
      </c>
      <c r="U106" s="38" cm="1">
        <f t="array" ref="U106">INDEX(U108:U110,$H$88)</f>
      </c>
    </row>
    <row r="107" spans="1:43" s="30" customFormat="1" ht="4.3499999999999996" customHeight="1" x14ac:dyDescent="0.25">
      <c r="B107" s="29"/>
      <c r="D107" s="31"/>
      <c r="E107" s="31"/>
      <c r="G107" s="32"/>
      <c r="H107" s="33"/>
      <c r="L107" s="34"/>
      <c r="M107" s="34"/>
      <c r="N107" s="34"/>
      <c r="O107" s="35"/>
      <c r="P107" s="35"/>
      <c r="Q107" s="35"/>
      <c r="R107" s="35"/>
      <c r="S107" s="35"/>
      <c r="T107" s="35"/>
      <c r="U107" s="35"/>
      <c r="X107" s="29"/>
      <c r="Z107" s="31"/>
      <c r="AA107" s="31"/>
      <c r="AC107" s="32"/>
      <c r="AD107" s="33"/>
      <c r="AH107" s="34"/>
      <c r="AI107" s="34"/>
      <c r="AJ107" s="34"/>
      <c r="AK107" s="35"/>
      <c r="AL107" s="35"/>
      <c r="AM107" s="35"/>
      <c r="AN107" s="35"/>
      <c r="AO107" s="35"/>
      <c r="AP107" s="35"/>
      <c r="AQ107" s="35"/>
    </row>
    <row r="108" spans="1:43" x14ac:dyDescent="0.3">
      <c r="D108" t="s">
        <v>136</v>
      </c>
      <c r="K108" s="25"/>
      <c r="L108" s="64">
        <f>K41</f>
      </c>
      <c r="M108" s="54">
        <f>L108</f>
      </c>
      <c r="N108" s="54">
        <f>M108</f>
      </c>
      <c r="O108" s="54">
        <f t="shared" ref="O108:U108" si="20">N108</f>
      </c>
      <c r="P108" s="54">
        <f t="shared" si="20"/>
      </c>
      <c r="Q108" s="54">
        <f t="shared" si="20"/>
      </c>
      <c r="R108" s="54">
        <f t="shared" si="20"/>
      </c>
      <c r="S108" s="54">
        <f t="shared" si="20"/>
      </c>
      <c r="T108" s="54">
        <f t="shared" si="20"/>
      </c>
      <c r="U108" s="55">
        <f t="shared" si="20"/>
      </c>
    </row>
    <row r="109" spans="1:43" x14ac:dyDescent="0.3">
      <c r="A109" s="22">
        <v>0.05</v>
      </c>
      <c r="D109" t="str">
        <f>"Best Case ("&amp;TEXT(A109*100,"0.00")&amp;"%)"</f>
      </c>
      <c r="K109" s="25"/>
      <c r="L109" s="70">
        <f>L$108*(1+$A109)</f>
      </c>
      <c r="M109" s="71">
        <f t="shared" ref="M109:U110" si="21">M$108*(1+$A109)</f>
      </c>
      <c r="N109" s="71">
        <f t="shared" si="21"/>
      </c>
      <c r="O109" s="71">
        <f t="shared" si="21"/>
      </c>
      <c r="P109" s="71">
        <f t="shared" si="21"/>
      </c>
      <c r="Q109" s="71">
        <f t="shared" si="21"/>
      </c>
      <c r="R109" s="71">
        <f t="shared" si="21"/>
      </c>
      <c r="S109" s="71">
        <f t="shared" si="21"/>
      </c>
      <c r="T109" s="71">
        <f t="shared" si="21"/>
      </c>
      <c r="U109" s="72">
        <f t="shared" si="21"/>
      </c>
    </row>
    <row r="110" spans="1:43" x14ac:dyDescent="0.3">
      <c r="A110" s="22">
        <v>-0.05</v>
      </c>
      <c r="D110" t="str">
        <f>"Worst Case ("&amp;TEXT(A110*100,"0.00")&amp;"%)"</f>
      </c>
      <c r="K110" s="25"/>
      <c r="L110" s="73">
        <f t="shared" ref="L110" si="22">L$108*(1+$A110)</f>
      </c>
      <c r="M110" s="74">
        <f t="shared" si="21"/>
      </c>
      <c r="N110" s="74">
        <f t="shared" si="21"/>
      </c>
      <c r="O110" s="74">
        <f t="shared" si="21"/>
      </c>
      <c r="P110" s="74">
        <f t="shared" si="21"/>
      </c>
      <c r="Q110" s="74">
        <f t="shared" si="21"/>
      </c>
      <c r="R110" s="74">
        <f t="shared" si="21"/>
      </c>
      <c r="S110" s="74">
        <f t="shared" si="21"/>
      </c>
      <c r="T110" s="74">
        <f t="shared" si="21"/>
      </c>
      <c r="U110" s="75">
        <f t="shared" si="21"/>
      </c>
    </row>
    <row r="111" spans="1:43" s="30" customFormat="1" ht="6" customHeight="1" x14ac:dyDescent="0.25">
      <c r="B111" s="29"/>
      <c r="D111" s="31"/>
      <c r="E111" s="31"/>
      <c r="G111" s="32"/>
      <c r="H111" s="33"/>
      <c r="L111" s="34"/>
      <c r="M111" s="34"/>
      <c r="N111" s="34"/>
      <c r="O111" s="35"/>
      <c r="P111" s="35"/>
      <c r="Q111" s="35"/>
      <c r="R111" s="35"/>
      <c r="S111" s="35"/>
      <c r="T111" s="35"/>
      <c r="U111" s="35"/>
      <c r="X111" s="29"/>
      <c r="Z111" s="31"/>
      <c r="AA111" s="31"/>
      <c r="AC111" s="32"/>
      <c r="AD111" s="33"/>
      <c r="AH111" s="34"/>
      <c r="AI111" s="34"/>
      <c r="AJ111" s="34"/>
      <c r="AK111" s="35"/>
      <c r="AL111" s="35"/>
      <c r="AM111" s="35"/>
      <c r="AN111" s="35"/>
      <c r="AO111" s="35"/>
      <c r="AP111" s="35"/>
      <c r="AQ111" s="35"/>
    </row>
    <row r="112" spans="1:43" x14ac:dyDescent="0.3">
      <c r="C112" s="2" t="s">
        <v>402</v>
      </c>
      <c r="H112" s="19" t="s">
        <v>396</v>
      </c>
      <c r="L112" s="26" cm="1">
        <f t="array" ref="L112">INDEX(L114:L116,$H$88)</f>
      </c>
      <c r="M112" s="27" cm="1">
        <f t="array" ref="M112">INDEX(M114:M116,$H$88)</f>
      </c>
      <c r="N112" s="27" cm="1">
        <f t="array" ref="N112">INDEX(N114:N116,$H$88)</f>
      </c>
      <c r="O112" s="27" cm="1">
        <f t="array" ref="O112">INDEX(O114:O116,$H$88)</f>
      </c>
      <c r="P112" s="27" cm="1">
        <f t="array" ref="P112">INDEX(P114:P116,$H$88)</f>
      </c>
      <c r="Q112" s="27" cm="1">
        <f t="array" ref="Q112">INDEX(Q114:Q116,$H$88)</f>
      </c>
      <c r="R112" s="27" cm="1">
        <f t="array" ref="R112">INDEX(R114:R116,$H$88)</f>
      </c>
      <c r="S112" s="27" cm="1">
        <f t="array" ref="S112">INDEX(S114:S116,$H$88)</f>
      </c>
      <c r="T112" s="27" cm="1">
        <f t="array" ref="T112">INDEX(T114:T116,$H$88)</f>
      </c>
      <c r="U112" s="28" cm="1">
        <f t="array" ref="U112">INDEX(U114:U116,$H$88)</f>
      </c>
    </row>
    <row r="113" spans="1:43" s="30" customFormat="1" ht="4.3499999999999996" customHeight="1" x14ac:dyDescent="0.25">
      <c r="B113" s="29"/>
      <c r="D113" s="31"/>
      <c r="E113" s="31"/>
      <c r="G113" s="32"/>
      <c r="H113" s="33"/>
      <c r="L113" s="34"/>
      <c r="M113" s="34"/>
      <c r="N113" s="34"/>
      <c r="O113" s="35"/>
      <c r="P113" s="35"/>
      <c r="Q113" s="35"/>
      <c r="R113" s="35"/>
      <c r="S113" s="35"/>
      <c r="T113" s="35"/>
      <c r="U113" s="35"/>
      <c r="X113" s="29"/>
      <c r="Z113" s="31"/>
      <c r="AA113" s="31"/>
      <c r="AC113" s="32"/>
      <c r="AD113" s="33"/>
      <c r="AH113" s="34"/>
      <c r="AI113" s="34"/>
      <c r="AJ113" s="34"/>
      <c r="AK113" s="35"/>
      <c r="AL113" s="35"/>
      <c r="AM113" s="35"/>
      <c r="AN113" s="35"/>
      <c r="AO113" s="35"/>
      <c r="AP113" s="35"/>
      <c r="AQ113" s="35"/>
    </row>
    <row r="114" spans="1:43" x14ac:dyDescent="0.3">
      <c r="D114" t="s">
        <v>136</v>
      </c>
      <c r="H114" s="84"/>
      <c r="L114" s="51">
        <f>HistoricalData!Y41</f>
      </c>
      <c r="M114" s="52">
        <f>HistoricalData!Z41</f>
      </c>
      <c r="N114" s="52">
        <f>HistoricalData!AA41</f>
      </c>
      <c r="O114" s="52">
        <f>HistoricalData!AB41</f>
      </c>
      <c r="P114" s="52">
        <f>HistoricalData!AC41</f>
      </c>
      <c r="Q114" s="52">
        <f>HistoricalData!AD41</f>
      </c>
      <c r="R114" s="52">
        <f>HistoricalData!AE41</f>
      </c>
      <c r="S114" s="52">
        <f>HistoricalData!AF41</f>
      </c>
      <c r="T114" s="52">
        <f>HistoricalData!AG41</f>
      </c>
      <c r="U114" s="53">
        <f>HistoricalData!AH41</f>
      </c>
    </row>
    <row r="115" spans="1:43" x14ac:dyDescent="0.3">
      <c r="A115" s="22">
        <v>5.0000000000000001E-3</v>
      </c>
      <c r="D115" t="str">
        <f>"Best Case ("&amp;TEXT(A115*100,"0.00")&amp;"%)"</f>
      </c>
      <c r="L115" s="65">
        <f>L$114+$A115</f>
      </c>
      <c r="M115" s="58">
        <f t="shared" ref="M115:U116" si="23">M$114+$A115</f>
      </c>
      <c r="N115" s="58">
        <f t="shared" si="23"/>
      </c>
      <c r="O115" s="58">
        <f t="shared" si="23"/>
      </c>
      <c r="P115" s="58">
        <f t="shared" si="23"/>
      </c>
      <c r="Q115" s="58">
        <f t="shared" si="23"/>
      </c>
      <c r="R115" s="58">
        <f t="shared" si="23"/>
      </c>
      <c r="S115" s="58">
        <f t="shared" si="23"/>
      </c>
      <c r="T115" s="58">
        <f t="shared" si="23"/>
      </c>
      <c r="U115" s="66">
        <f t="shared" si="23"/>
      </c>
    </row>
    <row r="116" spans="1:43" x14ac:dyDescent="0.3">
      <c r="A116" s="22">
        <v>-5.0000000000000001E-3</v>
      </c>
      <c r="D116" t="str">
        <f>"Worst Case ("&amp;TEXT(A116*100,"0.00")&amp;"%)"</f>
      </c>
      <c r="L116" s="67">
        <f>L$114+$A116</f>
      </c>
      <c r="M116" s="68">
        <f t="shared" si="23"/>
      </c>
      <c r="N116" s="68">
        <f t="shared" si="23"/>
      </c>
      <c r="O116" s="68">
        <f t="shared" si="23"/>
      </c>
      <c r="P116" s="68">
        <f t="shared" si="23"/>
      </c>
      <c r="Q116" s="68">
        <f t="shared" si="23"/>
      </c>
      <c r="R116" s="68">
        <f t="shared" si="23"/>
      </c>
      <c r="S116" s="68">
        <f t="shared" si="23"/>
      </c>
      <c r="T116" s="68">
        <f t="shared" si="23"/>
      </c>
      <c r="U116" s="69">
        <f t="shared" si="23"/>
      </c>
    </row>
    <row r="117" spans="1:43" s="30" customFormat="1" ht="6" customHeight="1" x14ac:dyDescent="0.25">
      <c r="B117" s="29"/>
      <c r="D117" s="31"/>
      <c r="E117" s="31"/>
      <c r="G117" s="32"/>
      <c r="H117" s="33"/>
      <c r="L117" s="34"/>
      <c r="M117" s="34"/>
      <c r="N117" s="34"/>
      <c r="O117" s="35"/>
      <c r="P117" s="35"/>
      <c r="Q117" s="35"/>
      <c r="R117" s="35"/>
      <c r="S117" s="35"/>
      <c r="T117" s="35"/>
      <c r="U117" s="35"/>
      <c r="X117" s="29"/>
      <c r="Z117" s="31"/>
      <c r="AA117" s="31"/>
      <c r="AC117" s="32"/>
      <c r="AD117" s="33"/>
      <c r="AH117" s="34"/>
      <c r="AI117" s="34"/>
      <c r="AJ117" s="34"/>
      <c r="AK117" s="35"/>
      <c r="AL117" s="35"/>
      <c r="AM117" s="35"/>
      <c r="AN117" s="35"/>
      <c r="AO117" s="35"/>
      <c r="AP117" s="35"/>
      <c r="AQ117" s="35"/>
    </row>
    <row r="118" spans="1:43" x14ac:dyDescent="0.3">
      <c r="C118" s="2" t="s">
        <v>140</v>
      </c>
      <c r="H118" s="84" t="s">
        <v>397</v>
      </c>
      <c r="K118" s="25"/>
      <c r="L118" s="26" cm="1">
        <f t="array" ref="L118">INDEX(L120:L122,$H$88)</f>
      </c>
      <c r="M118" s="27" cm="1">
        <f t="array" ref="M118">INDEX(M120:M122,$H$88)</f>
      </c>
      <c r="N118" s="27" cm="1">
        <f t="array" ref="N118">INDEX(N120:N122,$H$88)</f>
      </c>
      <c r="O118" s="27" cm="1">
        <f t="array" ref="O118">INDEX(O120:O122,$H$88)</f>
      </c>
      <c r="P118" s="27" cm="1">
        <f t="array" ref="P118">INDEX(P120:P122,$H$88)</f>
      </c>
      <c r="Q118" s="27" cm="1">
        <f t="array" ref="Q118">INDEX(Q120:Q122,$H$88)</f>
      </c>
      <c r="R118" s="27" cm="1">
        <f t="array" ref="R118">INDEX(R120:R122,$H$88)</f>
      </c>
      <c r="S118" s="27" cm="1">
        <f t="array" ref="S118">INDEX(S120:S122,$H$88)</f>
      </c>
      <c r="T118" s="27" cm="1">
        <f t="array" ref="T118">INDEX(T120:T122,$H$88)</f>
      </c>
      <c r="U118" s="28" cm="1">
        <f t="array" ref="U118">INDEX(U120:U122,$H$88)</f>
      </c>
    </row>
    <row r="119" spans="1:43" s="30" customFormat="1" ht="4.3499999999999996" customHeight="1" x14ac:dyDescent="0.25">
      <c r="B119" s="29"/>
      <c r="D119" s="31"/>
      <c r="E119" s="31"/>
      <c r="G119" s="32"/>
      <c r="H119" s="33"/>
      <c r="L119" s="34"/>
      <c r="M119" s="34"/>
      <c r="N119" s="34"/>
      <c r="O119" s="35"/>
      <c r="P119" s="35"/>
      <c r="Q119" s="35"/>
      <c r="R119" s="35"/>
      <c r="S119" s="35"/>
      <c r="T119" s="35"/>
      <c r="U119" s="35"/>
      <c r="X119" s="29"/>
      <c r="Z119" s="31"/>
      <c r="AA119" s="31"/>
      <c r="AC119" s="32"/>
      <c r="AD119" s="33"/>
      <c r="AH119" s="34"/>
      <c r="AI119" s="34"/>
      <c r="AJ119" s="34"/>
      <c r="AK119" s="35"/>
      <c r="AL119" s="35"/>
      <c r="AM119" s="35"/>
      <c r="AN119" s="35"/>
      <c r="AO119" s="35"/>
      <c r="AP119" s="35"/>
      <c r="AQ119" s="35"/>
    </row>
    <row r="120" spans="1:43" x14ac:dyDescent="0.3">
      <c r="D120" t="s">
        <v>136</v>
      </c>
      <c r="K120" s="40"/>
      <c r="L120" s="51">
        <f>HistoricalData!Y38</f>
      </c>
      <c r="M120" s="52">
        <f>HistoricalData!Z38</f>
      </c>
      <c r="N120" s="52">
        <f>HistoricalData!AA38</f>
      </c>
      <c r="O120" s="52">
        <f>HistoricalData!AB38</f>
      </c>
      <c r="P120" s="52">
        <f>HistoricalData!AC38</f>
      </c>
      <c r="Q120" s="52">
        <f>HistoricalData!AD38</f>
      </c>
      <c r="R120" s="52">
        <f>HistoricalData!AE38</f>
      </c>
      <c r="S120" s="52">
        <f>HistoricalData!AF38</f>
      </c>
      <c r="T120" s="52">
        <f>HistoricalData!AG38</f>
      </c>
      <c r="U120" s="53">
        <f>HistoricalData!AH38</f>
      </c>
    </row>
    <row r="121" spans="1:43" x14ac:dyDescent="0.3">
      <c r="A121" s="22">
        <v>0.02</v>
      </c>
      <c r="D121" t="str">
        <f>"Best Case ("&amp;TEXT(A121*100,"0.00")&amp;"%)"</f>
      </c>
      <c r="K121" s="40"/>
      <c r="L121" s="65">
        <f>L$120+$A121</f>
      </c>
      <c r="M121" s="58">
        <f t="shared" ref="M121:U122" si="24">M$120+$A121</f>
      </c>
      <c r="N121" s="58">
        <f t="shared" si="24"/>
      </c>
      <c r="O121" s="58">
        <f t="shared" si="24"/>
      </c>
      <c r="P121" s="58">
        <f t="shared" si="24"/>
      </c>
      <c r="Q121" s="58">
        <f t="shared" si="24"/>
      </c>
      <c r="R121" s="58">
        <f t="shared" si="24"/>
      </c>
      <c r="S121" s="58">
        <f t="shared" si="24"/>
      </c>
      <c r="T121" s="58">
        <f t="shared" si="24"/>
      </c>
      <c r="U121" s="66">
        <f t="shared" si="24"/>
      </c>
    </row>
    <row r="122" spans="1:43" x14ac:dyDescent="0.3">
      <c r="A122" s="22">
        <v>-0.02</v>
      </c>
      <c r="D122" t="str">
        <f>"Worst Case ("&amp;TEXT(A122*100,"0.00")&amp;"%)"</f>
      </c>
      <c r="K122" s="40"/>
      <c r="L122" s="67">
        <f t="shared" ref="L122" si="25">L$120+$A122</f>
      </c>
      <c r="M122" s="68">
        <f t="shared" si="24"/>
      </c>
      <c r="N122" s="68">
        <f t="shared" si="24"/>
      </c>
      <c r="O122" s="68">
        <f t="shared" si="24"/>
      </c>
      <c r="P122" s="68">
        <f t="shared" si="24"/>
      </c>
      <c r="Q122" s="68">
        <f t="shared" si="24"/>
      </c>
      <c r="R122" s="68">
        <f t="shared" si="24"/>
      </c>
      <c r="S122" s="68">
        <f t="shared" si="24"/>
      </c>
      <c r="T122" s="68">
        <f t="shared" si="24"/>
      </c>
      <c r="U122" s="69">
        <f t="shared" si="24"/>
      </c>
    </row>
    <row r="123" spans="1:43" s="30" customFormat="1" ht="6" customHeight="1" x14ac:dyDescent="0.25">
      <c r="B123" s="29"/>
      <c r="D123" s="31"/>
      <c r="E123" s="31"/>
      <c r="G123" s="32"/>
      <c r="H123" s="33"/>
      <c r="L123" s="34"/>
      <c r="M123" s="34"/>
      <c r="N123" s="34"/>
      <c r="O123" s="35"/>
      <c r="P123" s="35"/>
      <c r="Q123" s="35"/>
      <c r="R123" s="35"/>
      <c r="S123" s="35"/>
      <c r="T123" s="35"/>
      <c r="U123" s="35"/>
      <c r="X123" s="29"/>
      <c r="Z123" s="31"/>
      <c r="AA123" s="31"/>
      <c r="AC123" s="32"/>
      <c r="AD123" s="33"/>
      <c r="AH123" s="34"/>
      <c r="AI123" s="34"/>
      <c r="AJ123" s="34"/>
      <c r="AK123" s="35"/>
      <c r="AL123" s="35"/>
      <c r="AM123" s="35"/>
      <c r="AN123" s="35"/>
      <c r="AO123" s="35"/>
      <c r="AP123" s="35"/>
      <c r="AQ123" s="35"/>
    </row>
    <row r="124" spans="1:43" x14ac:dyDescent="0.3">
      <c r="A124" s="22"/>
      <c r="C124" s="2" t="s">
        <v>488</v>
      </c>
      <c r="K124" s="40"/>
      <c r="L124" s="26" cm="1">
        <f t="array" ref="L124">INDEX(L126:L128,$H$88)</f>
      </c>
      <c r="M124" s="27" cm="1">
        <f t="array" ref="M124">INDEX(M126:M128,$H$88)</f>
      </c>
      <c r="N124" s="27" cm="1">
        <f t="array" ref="N124">INDEX(N126:N128,$H$88)</f>
      </c>
      <c r="O124" s="27" cm="1">
        <f t="array" ref="O124">INDEX(O126:O128,$H$88)</f>
      </c>
      <c r="P124" s="27" cm="1">
        <f t="array" ref="P124">INDEX(P126:P128,$H$88)</f>
      </c>
      <c r="Q124" s="27" cm="1">
        <f t="array" ref="Q124">INDEX(Q126:Q128,$H$88)</f>
      </c>
      <c r="R124" s="27" cm="1">
        <f t="array" ref="R124">INDEX(R126:R128,$H$88)</f>
      </c>
      <c r="S124" s="27" cm="1">
        <f t="array" ref="S124">INDEX(S126:S128,$H$88)</f>
      </c>
      <c r="T124" s="27" cm="1">
        <f t="array" ref="T124">INDEX(T126:T128,$H$88)</f>
      </c>
      <c r="U124" s="28" cm="1">
        <f t="array" ref="U124">INDEX(U126:U128,$H$88)</f>
      </c>
    </row>
    <row r="125" spans="1:43" s="30" customFormat="1" ht="4.3499999999999996" customHeight="1" x14ac:dyDescent="0.25">
      <c r="B125" s="29"/>
      <c r="D125" s="31"/>
      <c r="E125" s="31"/>
      <c r="G125" s="32"/>
      <c r="H125" s="33"/>
      <c r="L125" s="34"/>
      <c r="M125" s="34"/>
      <c r="N125" s="34"/>
      <c r="O125" s="35"/>
      <c r="P125" s="35"/>
      <c r="Q125" s="35"/>
      <c r="R125" s="35"/>
      <c r="S125" s="35"/>
      <c r="T125" s="35"/>
      <c r="U125" s="35"/>
      <c r="X125" s="29"/>
      <c r="Z125" s="31"/>
      <c r="AA125" s="31"/>
      <c r="AC125" s="32"/>
      <c r="AD125" s="33"/>
      <c r="AH125" s="34"/>
      <c r="AI125" s="34"/>
      <c r="AJ125" s="34"/>
      <c r="AK125" s="35"/>
      <c r="AL125" s="35"/>
      <c r="AM125" s="35"/>
      <c r="AN125" s="35"/>
      <c r="AO125" s="35"/>
      <c r="AP125" s="35"/>
      <c r="AQ125" s="35"/>
    </row>
    <row r="126" spans="1:43" x14ac:dyDescent="0.3">
      <c r="A126" s="22"/>
      <c r="D126" t="s">
        <v>136</v>
      </c>
      <c r="K126" s="40"/>
      <c r="L126" s="51">
        <v>0</v>
      </c>
      <c r="M126" s="52">
        <v>0</v>
      </c>
      <c r="N126" s="52">
        <v>0</v>
      </c>
      <c r="O126" s="52">
        <v>-5.0000000000000001E-4</v>
      </c>
      <c r="P126" s="52">
        <v>6.9999999999999999E-4</v>
      </c>
      <c r="Q126" s="52">
        <v>6.9999999999999999E-4</v>
      </c>
      <c r="R126" s="52">
        <v>1E-3</v>
      </c>
      <c r="S126" s="52">
        <v>1.1999999999999999E-3</v>
      </c>
      <c r="T126" s="52">
        <v>-1.5E-3</v>
      </c>
      <c r="U126" s="53">
        <v>-1.6999999999999999E-3</v>
      </c>
    </row>
    <row r="127" spans="1:43" x14ac:dyDescent="0.3">
      <c r="A127" s="22">
        <v>-2.5000000000000001E-3</v>
      </c>
      <c r="D127" t="str">
        <f>"Best Case ("&amp;TEXT(A127*100,"0.00")&amp;"%)"</f>
      </c>
      <c r="K127" s="40"/>
      <c r="L127" s="65">
        <f>L$126+$A127</f>
      </c>
      <c r="M127" s="58">
        <f t="shared" ref="M127:U128" si="26">M$126+$A127</f>
      </c>
      <c r="N127" s="58">
        <f t="shared" si="26"/>
      </c>
      <c r="O127" s="58">
        <f t="shared" si="26"/>
      </c>
      <c r="P127" s="58">
        <f t="shared" si="26"/>
      </c>
      <c r="Q127" s="58">
        <f t="shared" si="26"/>
      </c>
      <c r="R127" s="58">
        <f t="shared" si="26"/>
      </c>
      <c r="S127" s="58">
        <f t="shared" si="26"/>
      </c>
      <c r="T127" s="58">
        <f t="shared" si="26"/>
      </c>
      <c r="U127" s="66">
        <f t="shared" si="26"/>
      </c>
    </row>
    <row r="128" spans="1:43" x14ac:dyDescent="0.3">
      <c r="A128" s="22">
        <v>2.5000000000000001E-3</v>
      </c>
      <c r="D128" t="str">
        <f>"Worst Case ("&amp;TEXT(A128*100,"0.00")&amp;"%)"</f>
      </c>
      <c r="K128" s="40"/>
      <c r="L128" s="67">
        <f>L$126+$A128</f>
      </c>
      <c r="M128" s="68">
        <f t="shared" si="26"/>
      </c>
      <c r="N128" s="68">
        <f t="shared" si="26"/>
      </c>
      <c r="O128" s="68">
        <f t="shared" si="26"/>
      </c>
      <c r="P128" s="68">
        <f t="shared" si="26"/>
      </c>
      <c r="Q128" s="68">
        <f t="shared" si="26"/>
      </c>
      <c r="R128" s="68">
        <f t="shared" si="26"/>
      </c>
      <c r="S128" s="68">
        <f t="shared" si="26"/>
      </c>
      <c r="T128" s="68">
        <f t="shared" si="26"/>
      </c>
      <c r="U128" s="69">
        <f t="shared" si="26"/>
      </c>
    </row>
    <row r="129" spans="1:43" s="30" customFormat="1" ht="6" customHeight="1" thickBot="1" x14ac:dyDescent="0.3">
      <c r="B129" s="29"/>
      <c r="D129" s="31"/>
      <c r="E129" s="31"/>
      <c r="G129" s="32"/>
      <c r="H129" s="33"/>
      <c r="L129" s="34"/>
      <c r="M129" s="34"/>
      <c r="N129" s="34"/>
      <c r="O129" s="35"/>
      <c r="P129" s="35"/>
      <c r="Q129" s="35"/>
      <c r="R129" s="35"/>
      <c r="S129" s="35"/>
      <c r="T129" s="35"/>
      <c r="U129" s="35"/>
      <c r="X129" s="29"/>
      <c r="Z129" s="31"/>
      <c r="AA129" s="31"/>
      <c r="AC129" s="32"/>
      <c r="AD129" s="33"/>
      <c r="AH129" s="34"/>
      <c r="AI129" s="34"/>
      <c r="AJ129" s="34"/>
      <c r="AK129" s="35"/>
      <c r="AL129" s="35"/>
      <c r="AM129" s="35"/>
      <c r="AN129" s="35"/>
      <c r="AO129" s="35"/>
      <c r="AP129" s="35"/>
      <c r="AQ129" s="35"/>
    </row>
    <row r="130" spans="1:43" ht="15" thickBot="1" x14ac:dyDescent="0.35">
      <c r="C130" s="2" t="s">
        <v>390</v>
      </c>
      <c r="H130" s="226" t="s">
        <v>623</v>
      </c>
      <c r="K130" s="25"/>
      <c r="L130" s="153" cm="1">
        <f t="array" ref="L130">INDEX(L132:L134,$H$88)</f>
      </c>
      <c r="M130" s="154" cm="1">
        <f t="array" ref="M130">INDEX(M132:M134,$H$88)</f>
      </c>
      <c r="N130" s="154" cm="1">
        <f t="array" ref="N130">INDEX(N132:N134,$H$88)</f>
      </c>
      <c r="O130" s="154" cm="1">
        <f t="array" ref="O130">INDEX(O132:O134,$H$88)</f>
      </c>
      <c r="P130" s="154" cm="1">
        <f t="array" ref="P130">INDEX(P132:P134,$H$88)</f>
      </c>
      <c r="Q130" s="154" cm="1">
        <f t="array" ref="Q130">INDEX(Q132:Q134,$H$88)</f>
      </c>
      <c r="R130" s="154" cm="1">
        <f t="array" ref="R130">INDEX(R132:R134,$H$88)</f>
      </c>
      <c r="S130" s="154" cm="1">
        <f t="array" ref="S130">INDEX(S132:S134,$H$88)</f>
      </c>
      <c r="T130" s="154" cm="1">
        <f t="array" ref="T130">INDEX(T132:T134,$H$88)</f>
      </c>
      <c r="U130" s="155" cm="1">
        <f t="array" ref="U130">INDEX(U132:U134,$H$88)</f>
      </c>
      <c r="V130" s="30"/>
    </row>
    <row r="131" spans="1:43" s="30" customFormat="1" ht="4.3499999999999996" customHeight="1" x14ac:dyDescent="0.25">
      <c r="B131" s="29"/>
      <c r="D131" s="31"/>
      <c r="E131" s="31"/>
      <c r="G131" s="32"/>
      <c r="H131" s="33"/>
      <c r="L131" s="34"/>
      <c r="M131" s="34"/>
      <c r="N131" s="34"/>
      <c r="O131" s="35"/>
      <c r="P131" s="35"/>
      <c r="Q131" s="35"/>
      <c r="R131" s="35"/>
      <c r="S131" s="35"/>
      <c r="T131" s="35"/>
      <c r="U131" s="35"/>
      <c r="X131" s="29"/>
      <c r="Z131" s="31"/>
      <c r="AA131" s="31"/>
      <c r="AC131" s="32"/>
      <c r="AD131" s="33"/>
      <c r="AH131" s="34"/>
      <c r="AI131" s="34"/>
      <c r="AJ131" s="34"/>
      <c r="AK131" s="35"/>
      <c r="AL131" s="35"/>
      <c r="AM131" s="35"/>
      <c r="AN131" s="35"/>
      <c r="AO131" s="35"/>
      <c r="AP131" s="35"/>
      <c r="AQ131" s="35"/>
    </row>
    <row r="132" spans="1:43" x14ac:dyDescent="0.3">
      <c r="D132" t="s">
        <v>136</v>
      </c>
      <c r="K132" s="25"/>
      <c r="L132" s="156">
        <f>1</f>
      </c>
      <c r="M132" s="157">
        <f t="shared" ref="M132:U132" si="27">L132</f>
      </c>
      <c r="N132" s="157">
        <f t="shared" si="27"/>
      </c>
      <c r="O132" s="157">
        <f t="shared" si="27"/>
      </c>
      <c r="P132" s="157">
        <f t="shared" si="27"/>
      </c>
      <c r="Q132" s="157">
        <f t="shared" si="27"/>
      </c>
      <c r="R132" s="157">
        <f t="shared" si="27"/>
      </c>
      <c r="S132" s="157">
        <f t="shared" si="27"/>
      </c>
      <c r="T132" s="157">
        <f t="shared" si="27"/>
      </c>
      <c r="U132" s="158">
        <f t="shared" si="27"/>
      </c>
    </row>
    <row r="133" spans="1:43" x14ac:dyDescent="0.3">
      <c r="A133" s="22">
        <v>0</v>
      </c>
      <c r="D133" t="str">
        <f>"Best Case ("&amp;TEXT(A133*100,"0.00")&amp;"%)"</f>
      </c>
      <c r="K133" s="25"/>
      <c r="L133" s="159">
        <f t="shared" ref="L133:U134" si="28">L$132*(1+$A133)</f>
      </c>
      <c r="M133" s="86">
        <f t="shared" si="28"/>
      </c>
      <c r="N133" s="86">
        <f t="shared" si="28"/>
      </c>
      <c r="O133" s="86">
        <f t="shared" si="28"/>
      </c>
      <c r="P133" s="86">
        <f t="shared" si="28"/>
      </c>
      <c r="Q133" s="86">
        <f t="shared" si="28"/>
      </c>
      <c r="R133" s="86">
        <f t="shared" si="28"/>
      </c>
      <c r="S133" s="86">
        <f t="shared" si="28"/>
      </c>
      <c r="T133" s="86">
        <f t="shared" si="28"/>
      </c>
      <c r="U133" s="160">
        <f t="shared" si="28"/>
      </c>
    </row>
    <row r="134" spans="1:43" x14ac:dyDescent="0.3">
      <c r="A134" s="22">
        <v>0</v>
      </c>
      <c r="D134" t="str">
        <f>"Worst Case ("&amp;TEXT(A134*100,"0.00")&amp;"%)"</f>
      </c>
      <c r="K134" s="25"/>
      <c r="L134" s="161">
        <f t="shared" si="28"/>
      </c>
      <c r="M134" s="162">
        <f t="shared" si="28"/>
      </c>
      <c r="N134" s="162">
        <f t="shared" si="28"/>
      </c>
      <c r="O134" s="162">
        <f t="shared" si="28"/>
      </c>
      <c r="P134" s="162">
        <f t="shared" si="28"/>
      </c>
      <c r="Q134" s="162">
        <f t="shared" si="28"/>
      </c>
      <c r="R134" s="162">
        <f t="shared" si="28"/>
      </c>
      <c r="S134" s="162">
        <f t="shared" si="28"/>
      </c>
      <c r="T134" s="162">
        <f t="shared" si="28"/>
      </c>
      <c r="U134" s="163">
        <f t="shared" si="28"/>
      </c>
    </row>
    <row r="135" spans="1:43" x14ac:dyDescent="0.3">
      <c r="A135" s="22"/>
      <c r="K135" s="25"/>
      <c r="L135" s="86"/>
      <c r="M135" s="86"/>
      <c r="N135" s="86"/>
      <c r="O135" s="86"/>
      <c r="P135" s="86"/>
      <c r="Q135" s="86"/>
      <c r="R135" s="86"/>
      <c r="S135" s="86"/>
      <c r="T135" s="86"/>
      <c r="U135" s="86"/>
    </row>
    <row r="138" spans="1:43" ht="18" x14ac:dyDescent="0.35">
      <c r="B138" s="148" t="str">
        <f>'Assumptions&amp;Scenario'!$K$10</f>
      </c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</row>
    <row r="139" spans="1:43" ht="18" thickBot="1" x14ac:dyDescent="0.35">
      <c r="B139" s="47" t="s">
        <v>391</v>
      </c>
      <c r="C139" s="48"/>
      <c r="D139" s="48"/>
      <c r="E139" s="48"/>
      <c r="F139" s="48"/>
      <c r="G139" s="48"/>
      <c r="H139" s="49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spans="1:43" ht="15" thickBot="1" x14ac:dyDescent="0.35">
      <c r="C140" s="2"/>
      <c r="D140" s="2"/>
      <c r="E140" s="2"/>
      <c r="F140" s="2"/>
      <c r="L140" s="80" t="s">
        <v>141</v>
      </c>
      <c r="M140" s="80"/>
      <c r="N140" s="42"/>
      <c r="O140" s="42"/>
      <c r="P140" s="42"/>
      <c r="Q140" s="42"/>
      <c r="R140" s="42"/>
      <c r="S140" s="42"/>
      <c r="T140" s="42"/>
      <c r="U140" s="42"/>
    </row>
    <row r="141" spans="1:43" ht="16.2" thickTop="1" x14ac:dyDescent="0.3">
      <c r="C141" s="43" t="s">
        <v>25</v>
      </c>
      <c r="D141" s="43"/>
      <c r="E141" s="43"/>
      <c r="F141" s="43"/>
      <c r="G141" s="43"/>
      <c r="H141" s="44"/>
      <c r="I141" s="44"/>
      <c r="J141" s="44"/>
      <c r="K141" s="44"/>
      <c r="L141" s="44"/>
      <c r="M141" s="44" t="str">
        <f>"FY"&amp;TEXT(YEAR('Data Sheet'!$K$41)+(MONTH('Data Sheet'!$K$41)&gt;3)-2000,"00")&amp;"Q"&amp;INT((MOD(MONTH('Data Sheet'!$K$41)-4,12))/3)+1</f>
      </c>
      <c r="N141" s="44" t="str">
        <f t="shared" ref="N141:U141" si="29">"FY"&amp;TEXT(MID(M141,3,2)+IF(RIGHT(M141,1)="4",1,0),"00")&amp;"Q"&amp;MOD(RIGHT(M141,1),4)+1</f>
      </c>
      <c r="O141" s="44" t="str">
        <f t="shared" si="29"/>
      </c>
      <c r="P141" s="44" t="str">
        <f t="shared" si="29"/>
      </c>
      <c r="Q141" s="44" t="str">
        <f t="shared" si="29"/>
      </c>
      <c r="R141" s="44" t="str">
        <f t="shared" si="29"/>
      </c>
      <c r="S141" s="44" t="str">
        <f t="shared" si="29"/>
      </c>
      <c r="T141" s="44" t="str">
        <f t="shared" si="29"/>
      </c>
      <c r="U141" s="44" t="str">
        <f t="shared" si="29"/>
      </c>
    </row>
    <row r="142" spans="1:43" ht="3" customHeight="1" x14ac:dyDescent="0.3"/>
    <row r="143" spans="1:43" ht="3" customHeight="1" x14ac:dyDescent="0.3"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43" ht="3" customHeight="1" x14ac:dyDescent="0.3"/>
    <row r="145" spans="1:43" ht="18" x14ac:dyDescent="0.35">
      <c r="C145" s="24" t="s">
        <v>135</v>
      </c>
    </row>
    <row r="147" spans="1:43" x14ac:dyDescent="0.3">
      <c r="C147" s="2" t="s">
        <v>395</v>
      </c>
      <c r="H147" s="19" t="s">
        <v>396</v>
      </c>
      <c r="K147" s="25"/>
      <c r="N147" s="26" cm="1">
        <f t="array" ref="N147">INDEX(N149:N151,$H$88)</f>
      </c>
      <c r="O147" s="27" cm="1">
        <f t="array" ref="O147">INDEX(O149:O151,$H$88)</f>
      </c>
      <c r="P147" s="27" cm="1">
        <f t="array" ref="P147">INDEX(P149:P151,$H$88)</f>
      </c>
      <c r="Q147" s="27" cm="1">
        <f t="array" ref="Q147">INDEX(Q149:Q151,$H$88)</f>
      </c>
      <c r="R147" s="27" cm="1">
        <f t="array" ref="R147">INDEX(R149:R151,$H$88)</f>
      </c>
      <c r="S147" s="27" cm="1">
        <f t="array" ref="S147">INDEX(S149:S151,$H$88)</f>
      </c>
      <c r="T147" s="27" cm="1">
        <f t="array" ref="T147">INDEX(T149:T151,$H$88)</f>
      </c>
      <c r="U147" s="28" cm="1">
        <f t="array" ref="U147">INDEX(U149:U151,$H$88)</f>
      </c>
    </row>
    <row r="148" spans="1:43" s="30" customFormat="1" ht="4.3499999999999996" customHeight="1" x14ac:dyDescent="0.3">
      <c r="B148" s="29"/>
      <c r="D148" s="31"/>
      <c r="E148" s="31"/>
      <c r="G148" s="32"/>
      <c r="H148" s="33"/>
      <c r="L148"/>
      <c r="M148"/>
      <c r="N148" s="34"/>
      <c r="O148" s="35"/>
      <c r="P148" s="35"/>
      <c r="Q148" s="35"/>
      <c r="R148" s="35"/>
      <c r="S148" s="35"/>
      <c r="T148" s="35"/>
      <c r="U148" s="35"/>
      <c r="X148" s="29"/>
      <c r="Z148" s="31"/>
      <c r="AA148" s="31"/>
      <c r="AC148" s="32"/>
      <c r="AD148" s="33"/>
      <c r="AH148" s="34"/>
      <c r="AI148" s="34"/>
      <c r="AJ148" s="34"/>
      <c r="AK148" s="35"/>
      <c r="AL148" s="35"/>
      <c r="AM148" s="35"/>
      <c r="AN148" s="35"/>
      <c r="AO148" s="35"/>
      <c r="AP148" s="35"/>
      <c r="AQ148" s="35"/>
    </row>
    <row r="149" spans="1:43" x14ac:dyDescent="0.3">
      <c r="B149" s="29"/>
      <c r="D149" t="s">
        <v>136</v>
      </c>
      <c r="K149" s="25"/>
      <c r="N149" s="51">
        <f>HistoricalData!Y243</f>
      </c>
      <c r="O149" s="52">
        <f>HistoricalData!Z243</f>
      </c>
      <c r="P149" s="52">
        <f>HistoricalData!AA243</f>
      </c>
      <c r="Q149" s="52">
        <f>HistoricalData!AB243</f>
      </c>
      <c r="R149" s="52">
        <f>HistoricalData!AC243</f>
      </c>
      <c r="S149" s="52">
        <f>HistoricalData!AD243</f>
      </c>
      <c r="T149" s="52">
        <f>HistoricalData!AE243</f>
      </c>
      <c r="U149" s="53">
        <f>HistoricalData!AF243</f>
      </c>
      <c r="V149" s="30"/>
    </row>
    <row r="150" spans="1:43" x14ac:dyDescent="0.3">
      <c r="A150" s="22">
        <v>-5.0000000000000001E-3</v>
      </c>
      <c r="D150" t="str">
        <f>"Best Case ("&amp;TEXT(A150*100,"0.00")&amp;"%)"</f>
      </c>
      <c r="K150" s="25"/>
      <c r="N150" s="65">
        <f t="shared" ref="N150:U151" si="30">N$149+$A150</f>
      </c>
      <c r="O150" s="58">
        <f t="shared" si="30"/>
      </c>
      <c r="P150" s="58">
        <f t="shared" si="30"/>
      </c>
      <c r="Q150" s="58">
        <f t="shared" si="30"/>
      </c>
      <c r="R150" s="58">
        <f t="shared" si="30"/>
      </c>
      <c r="S150" s="58">
        <f t="shared" si="30"/>
      </c>
      <c r="T150" s="58">
        <f t="shared" si="30"/>
      </c>
      <c r="U150" s="66">
        <f t="shared" si="30"/>
      </c>
    </row>
    <row r="151" spans="1:43" x14ac:dyDescent="0.3">
      <c r="A151" s="22">
        <v>5.0000000000000001E-3</v>
      </c>
      <c r="D151" t="str">
        <f>"Worst Case ("&amp;TEXT(A151*100,"0.00")&amp;"%)"</f>
      </c>
      <c r="K151" s="25"/>
      <c r="N151" s="67">
        <f t="shared" si="30"/>
      </c>
      <c r="O151" s="68">
        <f t="shared" si="30"/>
      </c>
      <c r="P151" s="68">
        <f t="shared" si="30"/>
      </c>
      <c r="Q151" s="68">
        <f t="shared" si="30"/>
      </c>
      <c r="R151" s="68">
        <f t="shared" si="30"/>
      </c>
      <c r="S151" s="68">
        <f t="shared" si="30"/>
      </c>
      <c r="T151" s="68">
        <f t="shared" si="30"/>
      </c>
      <c r="U151" s="69">
        <f t="shared" si="30"/>
      </c>
    </row>
    <row r="152" spans="1:43" s="30" customFormat="1" ht="6" customHeight="1" x14ac:dyDescent="0.25">
      <c r="B152" s="29"/>
      <c r="D152" s="31"/>
      <c r="E152" s="31"/>
      <c r="G152" s="32"/>
      <c r="H152" s="33"/>
      <c r="L152" s="34"/>
      <c r="M152" s="34"/>
      <c r="N152" s="34"/>
      <c r="O152" s="35"/>
      <c r="P152" s="35"/>
      <c r="Q152" s="35"/>
      <c r="R152" s="35"/>
      <c r="S152" s="35"/>
      <c r="T152" s="35"/>
      <c r="U152" s="35"/>
      <c r="X152" s="29"/>
      <c r="Z152" s="31"/>
      <c r="AA152" s="31"/>
      <c r="AC152" s="32"/>
      <c r="AD152" s="33"/>
      <c r="AH152" s="34"/>
      <c r="AI152" s="34"/>
      <c r="AJ152" s="34"/>
      <c r="AK152" s="35"/>
      <c r="AL152" s="35"/>
      <c r="AM152" s="35"/>
      <c r="AN152" s="35"/>
      <c r="AO152" s="35"/>
      <c r="AP152" s="35"/>
      <c r="AQ152" s="35"/>
    </row>
    <row r="153" spans="1:43" x14ac:dyDescent="0.3">
      <c r="C153" s="2" t="s">
        <v>393</v>
      </c>
      <c r="K153" s="25"/>
      <c r="N153" s="26" cm="1">
        <f t="array" ref="N153">INDEX(N155:N157,$H$88)</f>
      </c>
      <c r="O153" s="27" cm="1">
        <f t="array" ref="O153">INDEX(O155:O157,$H$88)</f>
      </c>
      <c r="P153" s="27" cm="1">
        <f t="array" ref="P153">INDEX(P155:P157,$H$88)</f>
      </c>
      <c r="Q153" s="27" cm="1">
        <f t="array" ref="Q153">INDEX(Q155:Q157,$H$88)</f>
      </c>
      <c r="R153" s="27" cm="1">
        <f t="array" ref="R153">INDEX(R155:R157,$H$88)</f>
      </c>
      <c r="S153" s="27" cm="1">
        <f t="array" ref="S153">INDEX(S155:S157,$H$88)</f>
      </c>
      <c r="T153" s="27" cm="1">
        <f t="array" ref="T153">INDEX(T155:T157,$H$88)</f>
      </c>
      <c r="U153" s="28" cm="1">
        <f t="array" ref="U153">INDEX(U155:U157,$H$88)</f>
      </c>
    </row>
    <row r="154" spans="1:43" s="30" customFormat="1" ht="4.3499999999999996" customHeight="1" x14ac:dyDescent="0.3">
      <c r="B154" s="29"/>
      <c r="D154" s="31"/>
      <c r="E154" s="31"/>
      <c r="G154" s="32"/>
      <c r="H154" s="33"/>
      <c r="L154"/>
      <c r="M154"/>
      <c r="N154" s="34"/>
      <c r="O154" s="35"/>
      <c r="P154" s="35"/>
      <c r="Q154" s="35"/>
      <c r="R154" s="35"/>
      <c r="S154" s="35"/>
      <c r="T154" s="35"/>
      <c r="U154" s="35"/>
      <c r="X154" s="29"/>
      <c r="Z154" s="31"/>
      <c r="AA154" s="31"/>
      <c r="AC154" s="32"/>
      <c r="AD154" s="33"/>
      <c r="AH154" s="34"/>
      <c r="AI154" s="34"/>
      <c r="AJ154" s="34"/>
      <c r="AK154" s="35"/>
      <c r="AL154" s="35"/>
      <c r="AM154" s="35"/>
      <c r="AN154" s="35"/>
      <c r="AO154" s="35"/>
      <c r="AP154" s="35"/>
      <c r="AQ154" s="35"/>
    </row>
    <row r="155" spans="1:43" x14ac:dyDescent="0.3">
      <c r="B155" s="29"/>
      <c r="D155" t="s">
        <v>136</v>
      </c>
      <c r="K155" s="25"/>
      <c r="N155" s="51">
        <f>HistoricalData!Y243</f>
      </c>
      <c r="O155" s="52">
        <f>HistoricalData!Z243</f>
      </c>
      <c r="P155" s="52">
        <f>HistoricalData!AA243</f>
      </c>
      <c r="Q155" s="52">
        <f>HistoricalData!AB243</f>
      </c>
      <c r="R155" s="52">
        <f>HistoricalData!AC243</f>
      </c>
      <c r="S155" s="52">
        <f>HistoricalData!AD243</f>
      </c>
      <c r="T155" s="52">
        <f>HistoricalData!AE243</f>
      </c>
      <c r="U155" s="53">
        <f>HistoricalData!AF243</f>
      </c>
      <c r="V155" s="30"/>
    </row>
    <row r="156" spans="1:43" x14ac:dyDescent="0.3">
      <c r="A156" s="22">
        <v>-5.0000000000000001E-3</v>
      </c>
      <c r="D156" t="s">
        <v>137</v>
      </c>
      <c r="K156" s="25"/>
      <c r="N156" s="65">
        <f>N$155+$A156</f>
      </c>
      <c r="O156" s="58">
        <f t="shared" ref="O156:U157" si="31">O$155+$A156</f>
      </c>
      <c r="P156" s="58">
        <f t="shared" si="31"/>
      </c>
      <c r="Q156" s="58">
        <f t="shared" si="31"/>
      </c>
      <c r="R156" s="58">
        <f t="shared" si="31"/>
      </c>
      <c r="S156" s="58">
        <f t="shared" si="31"/>
      </c>
      <c r="T156" s="58">
        <f t="shared" si="31"/>
      </c>
      <c r="U156" s="66">
        <f t="shared" si="31"/>
      </c>
    </row>
    <row r="157" spans="1:43" x14ac:dyDescent="0.3">
      <c r="A157" s="22">
        <v>5.0000000000000001E-3</v>
      </c>
      <c r="D157" t="s">
        <v>138</v>
      </c>
      <c r="K157" s="25"/>
      <c r="N157" s="67">
        <f>N$155+$A157</f>
      </c>
      <c r="O157" s="68">
        <f t="shared" si="31"/>
      </c>
      <c r="P157" s="68">
        <f t="shared" si="31"/>
      </c>
      <c r="Q157" s="68">
        <f t="shared" si="31"/>
      </c>
      <c r="R157" s="68">
        <f t="shared" si="31"/>
      </c>
      <c r="S157" s="68">
        <f t="shared" si="31"/>
      </c>
      <c r="T157" s="68">
        <f t="shared" si="31"/>
      </c>
      <c r="U157" s="69">
        <f t="shared" si="31"/>
      </c>
    </row>
    <row r="158" spans="1:43" s="30" customFormat="1" ht="6" customHeight="1" x14ac:dyDescent="0.25">
      <c r="B158" s="29"/>
      <c r="D158" s="31"/>
      <c r="E158" s="31"/>
      <c r="G158" s="32"/>
      <c r="H158" s="33"/>
      <c r="L158" s="34"/>
      <c r="M158" s="34"/>
      <c r="N158" s="34"/>
      <c r="O158" s="35"/>
      <c r="P158" s="35"/>
      <c r="Q158" s="35"/>
      <c r="R158" s="35"/>
      <c r="S158" s="35"/>
      <c r="T158" s="35"/>
      <c r="U158" s="35"/>
      <c r="X158" s="29"/>
      <c r="Z158" s="31"/>
      <c r="AA158" s="31"/>
      <c r="AC158" s="32"/>
      <c r="AD158" s="33"/>
      <c r="AH158" s="34"/>
      <c r="AI158" s="34"/>
      <c r="AJ158" s="34"/>
      <c r="AK158" s="35"/>
      <c r="AL158" s="35"/>
      <c r="AM158" s="35"/>
      <c r="AN158" s="35"/>
      <c r="AO158" s="35"/>
      <c r="AP158" s="35"/>
      <c r="AQ158" s="35"/>
    </row>
    <row r="159" spans="1:43" x14ac:dyDescent="0.3">
      <c r="C159" s="2" t="s">
        <v>402</v>
      </c>
      <c r="H159" s="19" t="s">
        <v>396</v>
      </c>
      <c r="N159" s="26" cm="1">
        <f t="array" ref="N159">INDEX(N161:N163,$H$88)</f>
      </c>
      <c r="O159" s="27" cm="1">
        <f t="array" ref="O159">INDEX(O161:O163,$H$88)</f>
      </c>
      <c r="P159" s="27" cm="1">
        <f t="array" ref="P159">INDEX(P161:P163,$H$88)</f>
      </c>
      <c r="Q159" s="27" cm="1">
        <f t="array" ref="Q159">INDEX(Q161:Q163,$H$88)</f>
      </c>
      <c r="R159" s="27" cm="1">
        <f t="array" ref="R159">INDEX(R161:R163,$H$88)</f>
      </c>
      <c r="S159" s="27" cm="1">
        <f t="array" ref="S159">INDEX(S161:S163,$H$88)</f>
      </c>
      <c r="T159" s="27" cm="1">
        <f t="array" ref="T159">INDEX(T161:T163,$H$88)</f>
      </c>
      <c r="U159" s="28" cm="1">
        <f t="array" ref="U159">INDEX(U161:U163,$H$88)</f>
      </c>
    </row>
    <row r="160" spans="1:43" s="30" customFormat="1" ht="4.3499999999999996" customHeight="1" x14ac:dyDescent="0.3">
      <c r="B160" s="29"/>
      <c r="D160" s="31"/>
      <c r="E160" s="31"/>
      <c r="G160" s="32"/>
      <c r="H160" s="33"/>
      <c r="L160"/>
      <c r="M160"/>
      <c r="N160" s="34"/>
      <c r="O160" s="35"/>
      <c r="P160" s="35"/>
      <c r="Q160" s="35"/>
      <c r="R160" s="35"/>
      <c r="S160" s="35"/>
      <c r="T160" s="35"/>
      <c r="U160" s="35"/>
      <c r="X160" s="29"/>
      <c r="Z160" s="31"/>
      <c r="AA160" s="31"/>
      <c r="AC160" s="32"/>
      <c r="AD160" s="33"/>
      <c r="AH160" s="34"/>
      <c r="AI160" s="34"/>
      <c r="AJ160" s="34"/>
      <c r="AK160" s="35"/>
      <c r="AL160" s="35"/>
      <c r="AM160" s="35"/>
      <c r="AN160" s="35"/>
      <c r="AO160" s="35"/>
      <c r="AP160" s="35"/>
      <c r="AQ160" s="35"/>
    </row>
    <row r="161" spans="1:43" x14ac:dyDescent="0.3">
      <c r="D161" t="s">
        <v>136</v>
      </c>
      <c r="N161" s="51">
        <f>HistoricalData!Y125</f>
      </c>
      <c r="O161" s="52">
        <f>HistoricalData!Z125</f>
      </c>
      <c r="P161" s="52">
        <f>HistoricalData!AA125</f>
      </c>
      <c r="Q161" s="52">
        <f>HistoricalData!AB125</f>
      </c>
      <c r="R161" s="52">
        <f>HistoricalData!AC125</f>
      </c>
      <c r="S161" s="52">
        <f>HistoricalData!AD125</f>
      </c>
      <c r="T161" s="52">
        <f>HistoricalData!AE125</f>
      </c>
      <c r="U161" s="53">
        <f>HistoricalData!AF125</f>
      </c>
    </row>
    <row r="162" spans="1:43" x14ac:dyDescent="0.3">
      <c r="A162" s="22">
        <v>5.0000000000000001E-3</v>
      </c>
      <c r="D162" t="str">
        <f>"Best Case ("&amp;TEXT(A162*100,"0.00")&amp;"%)"</f>
      </c>
      <c r="N162" s="65">
        <f t="shared" ref="N162:U163" si="32">N$161+$A162</f>
      </c>
      <c r="O162" s="58">
        <f t="shared" si="32"/>
      </c>
      <c r="P162" s="58">
        <f t="shared" si="32"/>
      </c>
      <c r="Q162" s="58">
        <f t="shared" si="32"/>
      </c>
      <c r="R162" s="58">
        <f t="shared" si="32"/>
      </c>
      <c r="S162" s="58">
        <f t="shared" si="32"/>
      </c>
      <c r="T162" s="58">
        <f t="shared" si="32"/>
      </c>
      <c r="U162" s="66">
        <f t="shared" si="32"/>
      </c>
    </row>
    <row r="163" spans="1:43" x14ac:dyDescent="0.3">
      <c r="A163" s="22">
        <v>-5.0000000000000001E-3</v>
      </c>
      <c r="D163" t="str">
        <f>"Worst Case ("&amp;TEXT(A163*100,"0.00")&amp;"%)"</f>
      </c>
      <c r="N163" s="67">
        <f t="shared" si="32"/>
      </c>
      <c r="O163" s="68">
        <f t="shared" si="32"/>
      </c>
      <c r="P163" s="68">
        <f t="shared" si="32"/>
      </c>
      <c r="Q163" s="68">
        <f t="shared" si="32"/>
      </c>
      <c r="R163" s="68">
        <f t="shared" si="32"/>
      </c>
      <c r="S163" s="68">
        <f t="shared" si="32"/>
      </c>
      <c r="T163" s="68">
        <f t="shared" si="32"/>
      </c>
      <c r="U163" s="69">
        <f t="shared" si="32"/>
      </c>
    </row>
    <row r="164" spans="1:43" s="30" customFormat="1" ht="6" customHeight="1" x14ac:dyDescent="0.25">
      <c r="B164" s="29"/>
      <c r="D164" s="31"/>
      <c r="E164" s="31"/>
      <c r="G164" s="32"/>
      <c r="H164" s="33"/>
      <c r="L164" s="34"/>
      <c r="M164" s="34"/>
      <c r="N164" s="34"/>
      <c r="O164" s="35"/>
      <c r="P164" s="35"/>
      <c r="Q164" s="35"/>
      <c r="R164" s="35"/>
      <c r="S164" s="35"/>
      <c r="T164" s="35"/>
      <c r="U164" s="35"/>
      <c r="X164" s="29"/>
      <c r="Z164" s="31"/>
      <c r="AA164" s="31"/>
      <c r="AC164" s="32"/>
      <c r="AD164" s="33"/>
      <c r="AH164" s="34"/>
      <c r="AI164" s="34"/>
      <c r="AJ164" s="34"/>
      <c r="AK164" s="35"/>
      <c r="AL164" s="35"/>
      <c r="AM164" s="35"/>
      <c r="AN164" s="35"/>
      <c r="AO164" s="35"/>
      <c r="AP164" s="35"/>
      <c r="AQ164" s="35"/>
    </row>
    <row r="165" spans="1:43" x14ac:dyDescent="0.3">
      <c r="C165" s="2" t="s">
        <v>140</v>
      </c>
      <c r="H165" s="19" t="s">
        <v>397</v>
      </c>
      <c r="K165" s="25"/>
      <c r="N165" s="26" cm="1">
        <f t="array" ref="N165">INDEX(N167:N169,$H$88)</f>
      </c>
      <c r="O165" s="27" cm="1">
        <f t="array" ref="O165">INDEX(O167:O169,$H$88)</f>
      </c>
      <c r="P165" s="27" cm="1">
        <f t="array" ref="P165">INDEX(P167:P169,$H$88)</f>
      </c>
      <c r="Q165" s="27" cm="1">
        <f t="array" ref="Q165">INDEX(Q167:Q169,$H$88)</f>
      </c>
      <c r="R165" s="27" cm="1">
        <f t="array" ref="R165">INDEX(R167:R169,$H$88)</f>
      </c>
      <c r="S165" s="27" cm="1">
        <f t="array" ref="S165">INDEX(S167:S169,$H$88)</f>
      </c>
      <c r="T165" s="27" cm="1">
        <f t="array" ref="T165">INDEX(T167:T169,$H$88)</f>
      </c>
      <c r="U165" s="28" cm="1">
        <f t="array" ref="U165">INDEX(U167:U169,$H$88)</f>
      </c>
    </row>
    <row r="166" spans="1:43" s="30" customFormat="1" ht="4.3499999999999996" customHeight="1" x14ac:dyDescent="0.3">
      <c r="B166" s="29"/>
      <c r="D166" s="31"/>
      <c r="E166" s="31"/>
      <c r="G166" s="32"/>
      <c r="H166" s="33"/>
      <c r="L166"/>
      <c r="M166"/>
      <c r="N166" s="34"/>
      <c r="O166" s="35"/>
      <c r="P166" s="35"/>
      <c r="Q166" s="35"/>
      <c r="R166" s="35"/>
      <c r="S166" s="35"/>
      <c r="T166" s="35"/>
      <c r="U166" s="35"/>
      <c r="X166" s="29"/>
      <c r="Z166" s="31"/>
      <c r="AA166" s="31"/>
      <c r="AC166" s="32"/>
      <c r="AD166" s="33"/>
      <c r="AH166" s="34"/>
      <c r="AI166" s="34"/>
      <c r="AJ166" s="34"/>
      <c r="AK166" s="35"/>
      <c r="AL166" s="35"/>
      <c r="AM166" s="35"/>
      <c r="AN166" s="35"/>
      <c r="AO166" s="35"/>
      <c r="AP166" s="35"/>
      <c r="AQ166" s="35"/>
    </row>
    <row r="167" spans="1:43" x14ac:dyDescent="0.3">
      <c r="D167" t="s">
        <v>136</v>
      </c>
      <c r="K167" s="40"/>
      <c r="N167" s="51">
        <f>HistoricalData!Y122</f>
      </c>
      <c r="O167" s="52">
        <f>HistoricalData!Z122</f>
      </c>
      <c r="P167" s="52">
        <f>HistoricalData!AA122</f>
      </c>
      <c r="Q167" s="52">
        <f>HistoricalData!AB122</f>
      </c>
      <c r="R167" s="52">
        <f>HistoricalData!AC122</f>
      </c>
      <c r="S167" s="52">
        <f>HistoricalData!AD122</f>
      </c>
      <c r="T167" s="52">
        <f>HistoricalData!AE122</f>
      </c>
      <c r="U167" s="53">
        <f>HistoricalData!AF122</f>
      </c>
    </row>
    <row r="168" spans="1:43" x14ac:dyDescent="0.3">
      <c r="A168" s="22">
        <v>0.02</v>
      </c>
      <c r="D168" t="str">
        <f>"Best Case ("&amp;TEXT(A168*100,"0.00")&amp;"%)"</f>
      </c>
      <c r="K168" s="40"/>
      <c r="N168" s="65">
        <f t="shared" ref="N168:U169" si="33">N$167+$A168</f>
      </c>
      <c r="O168" s="58">
        <f t="shared" si="33"/>
      </c>
      <c r="P168" s="58">
        <f t="shared" si="33"/>
      </c>
      <c r="Q168" s="58">
        <f t="shared" si="33"/>
      </c>
      <c r="R168" s="58">
        <f t="shared" si="33"/>
      </c>
      <c r="S168" s="58">
        <f t="shared" si="33"/>
      </c>
      <c r="T168" s="58">
        <f t="shared" si="33"/>
      </c>
      <c r="U168" s="66">
        <f t="shared" si="33"/>
      </c>
    </row>
    <row r="169" spans="1:43" x14ac:dyDescent="0.3">
      <c r="A169" s="22">
        <v>-0.02</v>
      </c>
      <c r="D169" t="str">
        <f>"Worst Case ("&amp;TEXT(A169*100,"0.00")&amp;"%)"</f>
      </c>
      <c r="K169" s="40"/>
      <c r="N169" s="67">
        <f t="shared" si="33"/>
      </c>
      <c r="O169" s="68">
        <f t="shared" si="33"/>
      </c>
      <c r="P169" s="68">
        <f t="shared" si="33"/>
      </c>
      <c r="Q169" s="68">
        <f t="shared" si="33"/>
      </c>
      <c r="R169" s="68">
        <f t="shared" si="33"/>
      </c>
      <c r="S169" s="68">
        <f t="shared" si="33"/>
      </c>
      <c r="T169" s="68">
        <f t="shared" si="33"/>
      </c>
      <c r="U169" s="69">
        <f t="shared" si="33"/>
      </c>
    </row>
    <row r="170" spans="1:43" s="30" customFormat="1" ht="6" customHeight="1" thickBot="1" x14ac:dyDescent="0.3">
      <c r="B170" s="29"/>
      <c r="D170" s="31"/>
      <c r="E170" s="31"/>
      <c r="G170" s="32"/>
      <c r="H170" s="33"/>
      <c r="L170" s="34"/>
      <c r="M170" s="34"/>
      <c r="N170" s="34"/>
      <c r="O170" s="35"/>
      <c r="P170" s="35"/>
      <c r="Q170" s="35"/>
      <c r="R170" s="35"/>
      <c r="S170" s="35"/>
      <c r="T170" s="35"/>
      <c r="U170" s="35"/>
      <c r="X170" s="29"/>
      <c r="Z170" s="31"/>
      <c r="AA170" s="31"/>
      <c r="AC170" s="32"/>
      <c r="AD170" s="33"/>
      <c r="AH170" s="34"/>
      <c r="AI170" s="34"/>
      <c r="AJ170" s="34"/>
      <c r="AK170" s="35"/>
      <c r="AL170" s="35"/>
      <c r="AM170" s="35"/>
      <c r="AN170" s="35"/>
      <c r="AO170" s="35"/>
      <c r="AP170" s="35"/>
      <c r="AQ170" s="35"/>
    </row>
    <row r="171" spans="1:43" ht="15" thickBot="1" x14ac:dyDescent="0.35">
      <c r="C171" s="2" t="s">
        <v>390</v>
      </c>
      <c r="H171" s="81" t="str">
        <f>H130</f>
      </c>
      <c r="K171" s="25"/>
      <c r="N171" s="153" cm="1">
        <f t="array" ref="N171">INDEX(N173:N175,$H$88)</f>
      </c>
      <c r="O171" s="154" cm="1">
        <f t="array" ref="O171">INDEX(O173:O175,$H$88)</f>
      </c>
      <c r="P171" s="154" cm="1">
        <f t="array" ref="P171">INDEX(P173:P175,$H$88)</f>
      </c>
      <c r="Q171" s="154" cm="1">
        <f t="array" ref="Q171">INDEX(Q173:Q175,$H$88)</f>
      </c>
      <c r="R171" s="154" cm="1">
        <f t="array" ref="R171">INDEX(R173:R175,$H$88)</f>
      </c>
      <c r="S171" s="154" cm="1">
        <f t="array" ref="S171">INDEX(S173:S175,$H$88)</f>
      </c>
      <c r="T171" s="154" cm="1">
        <f t="array" ref="T171">INDEX(T173:T175,$H$88)</f>
      </c>
      <c r="U171" s="155" cm="1">
        <f t="array" ref="U171">INDEX(U173:U175,$H$88)</f>
      </c>
      <c r="V171" s="30"/>
    </row>
    <row r="172" spans="1:43" s="30" customFormat="1" ht="4.3499999999999996" customHeight="1" x14ac:dyDescent="0.3">
      <c r="B172" s="29"/>
      <c r="D172" s="31"/>
      <c r="E172" s="31"/>
      <c r="G172" s="32"/>
      <c r="H172" s="33"/>
      <c r="L172"/>
      <c r="M172"/>
      <c r="N172" s="34"/>
      <c r="O172" s="35"/>
      <c r="P172" s="35"/>
      <c r="Q172" s="35"/>
      <c r="R172" s="35"/>
      <c r="S172" s="35"/>
      <c r="T172" s="35"/>
      <c r="U172" s="35"/>
      <c r="X172" s="29"/>
      <c r="Z172" s="31"/>
      <c r="AA172" s="31"/>
      <c r="AC172" s="32"/>
      <c r="AD172" s="33"/>
      <c r="AH172" s="34"/>
      <c r="AI172" s="34"/>
      <c r="AJ172" s="34"/>
      <c r="AK172" s="35"/>
      <c r="AL172" s="35"/>
      <c r="AM172" s="35"/>
      <c r="AN172" s="35"/>
      <c r="AO172" s="35"/>
      <c r="AP172" s="35"/>
      <c r="AQ172" s="35"/>
    </row>
    <row r="173" spans="1:43" x14ac:dyDescent="0.3">
      <c r="D173" t="s">
        <v>136</v>
      </c>
      <c r="K173" s="25"/>
      <c r="N173" s="166">
        <f>1</f>
      </c>
      <c r="O173" s="157">
        <f t="shared" ref="O173:U173" si="34">N173</f>
      </c>
      <c r="P173" s="157">
        <f t="shared" si="34"/>
      </c>
      <c r="Q173" s="157">
        <f t="shared" si="34"/>
      </c>
      <c r="R173" s="157">
        <f t="shared" si="34"/>
      </c>
      <c r="S173" s="157">
        <f t="shared" si="34"/>
      </c>
      <c r="T173" s="157">
        <f t="shared" si="34"/>
      </c>
      <c r="U173" s="158">
        <f t="shared" si="34"/>
      </c>
    </row>
    <row r="174" spans="1:43" x14ac:dyDescent="0.3">
      <c r="A174" s="22">
        <v>0</v>
      </c>
      <c r="D174" t="str">
        <f>"Best Case ("&amp;TEXT(A174*100,"0.00")&amp;"%)"</f>
      </c>
      <c r="K174" s="25"/>
      <c r="N174" s="159">
        <f t="shared" ref="N174:U175" si="35">N$132*(1+$A174)</f>
      </c>
      <c r="O174" s="86">
        <f t="shared" si="35"/>
      </c>
      <c r="P174" s="86">
        <f t="shared" si="35"/>
      </c>
      <c r="Q174" s="86">
        <f t="shared" si="35"/>
      </c>
      <c r="R174" s="86">
        <f t="shared" si="35"/>
      </c>
      <c r="S174" s="86">
        <f t="shared" si="35"/>
      </c>
      <c r="T174" s="86">
        <f t="shared" si="35"/>
      </c>
      <c r="U174" s="160">
        <f t="shared" si="35"/>
      </c>
    </row>
    <row r="175" spans="1:43" x14ac:dyDescent="0.3">
      <c r="A175" s="22">
        <v>0</v>
      </c>
      <c r="D175" t="str">
        <f>"Worst Case ("&amp;TEXT(A175*100,"0.00")&amp;"%)"</f>
      </c>
      <c r="K175" s="25"/>
      <c r="N175" s="161">
        <f t="shared" si="35"/>
      </c>
      <c r="O175" s="162">
        <f t="shared" si="35"/>
      </c>
      <c r="P175" s="162">
        <f t="shared" si="35"/>
      </c>
      <c r="Q175" s="162">
        <f t="shared" si="35"/>
      </c>
      <c r="R175" s="162">
        <f t="shared" si="35"/>
      </c>
      <c r="S175" s="162">
        <f t="shared" si="35"/>
      </c>
      <c r="T175" s="162">
        <f t="shared" si="35"/>
      </c>
      <c r="U175" s="163">
        <f t="shared" si="35"/>
      </c>
    </row>
    <row r="176" spans="1:43" x14ac:dyDescent="0.3">
      <c r="A176" s="22"/>
      <c r="K176" s="40"/>
      <c r="N176" s="58"/>
      <c r="O176" s="58"/>
      <c r="P176" s="58"/>
      <c r="Q176" s="58"/>
      <c r="R176" s="58"/>
      <c r="S176" s="58"/>
      <c r="T176" s="58"/>
      <c r="U176" s="58"/>
    </row>
    <row r="178" spans="1:43" ht="17.399999999999999" x14ac:dyDescent="0.3">
      <c r="C178" s="45"/>
      <c r="D178" s="45"/>
      <c r="E178" s="45"/>
      <c r="F178" s="45"/>
      <c r="G178" s="45"/>
      <c r="H178" s="46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</row>
    <row r="179" spans="1:43" ht="18" x14ac:dyDescent="0.35">
      <c r="B179" s="148" t="str">
        <f>$K$10</f>
      </c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</row>
    <row r="180" spans="1:43" ht="18" thickBot="1" x14ac:dyDescent="0.35">
      <c r="B180" s="47" t="s">
        <v>143</v>
      </c>
      <c r="C180" s="48"/>
      <c r="D180" s="48"/>
      <c r="E180" s="48"/>
      <c r="F180" s="48"/>
      <c r="G180" s="48"/>
      <c r="H180" s="49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</row>
    <row r="181" spans="1:43" ht="15" thickBot="1" x14ac:dyDescent="0.35">
      <c r="C181" s="2"/>
      <c r="D181" s="2"/>
      <c r="E181" s="2"/>
      <c r="F181" s="2"/>
      <c r="L181" s="42" t="s">
        <v>141</v>
      </c>
      <c r="M181" s="42"/>
      <c r="N181" s="42"/>
      <c r="O181" s="42"/>
      <c r="P181" s="42"/>
      <c r="Q181" s="42"/>
      <c r="R181" s="42"/>
      <c r="S181" s="42"/>
      <c r="T181" s="42"/>
      <c r="U181" s="42"/>
    </row>
    <row r="182" spans="1:43" ht="16.2" thickTop="1" x14ac:dyDescent="0.3">
      <c r="C182" s="43" t="s">
        <v>142</v>
      </c>
      <c r="D182" s="43"/>
      <c r="E182" s="43"/>
      <c r="F182" s="43"/>
      <c r="G182" s="43"/>
      <c r="H182" s="44">
        <v>1</v>
      </c>
      <c r="I182" s="44"/>
      <c r="J182" s="44"/>
      <c r="K182" s="44" t="str">
        <f>"FY"&amp;TEXT(DATE(YEAR('Data Sheet'!K16)+(MONTH('Data Sheet'!K16)&gt;3),1,1),"YY")</f>
      </c>
      <c r="L182" s="44" t="str">
        <f t="shared" ref="L182:U182" si="36">"FY"&amp;TEXT(RIGHT(K182,2)+COLUMN()-COLUMN(K182),"00")</f>
      </c>
      <c r="M182" s="44" t="str">
        <f t="shared" si="36"/>
      </c>
      <c r="N182" s="44" t="str">
        <f t="shared" si="36"/>
      </c>
      <c r="O182" s="44" t="str">
        <f t="shared" si="36"/>
      </c>
      <c r="P182" s="44" t="str">
        <f t="shared" si="36"/>
      </c>
      <c r="Q182" s="44" t="str">
        <f t="shared" si="36"/>
      </c>
      <c r="R182" s="44" t="str">
        <f t="shared" si="36"/>
      </c>
      <c r="S182" s="44" t="str">
        <f t="shared" si="36"/>
      </c>
      <c r="T182" s="44" t="str">
        <f t="shared" si="36"/>
      </c>
      <c r="U182" s="44" t="str">
        <f t="shared" si="36"/>
      </c>
    </row>
    <row r="183" spans="1:43" ht="3" customHeight="1" x14ac:dyDescent="0.3"/>
    <row r="184" spans="1:43" ht="3" customHeight="1" x14ac:dyDescent="0.3"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43" ht="3" customHeight="1" x14ac:dyDescent="0.3"/>
    <row r="186" spans="1:43" ht="18" x14ac:dyDescent="0.35">
      <c r="C186" s="24" t="s">
        <v>144</v>
      </c>
    </row>
    <row r="187" spans="1:43" x14ac:dyDescent="0.3">
      <c r="B187" s="29"/>
    </row>
    <row r="188" spans="1:43" x14ac:dyDescent="0.3">
      <c r="C188" s="2" t="s">
        <v>145</v>
      </c>
      <c r="K188" s="25"/>
      <c r="L188" s="26" cm="1">
        <f t="array" ref="L188">INDEX(L190:L192,$H$182)</f>
      </c>
      <c r="M188" s="27" cm="1">
        <f t="array" ref="M188">INDEX(M190:M192,$H$182)</f>
      </c>
      <c r="N188" s="27" cm="1">
        <f t="array" ref="N188">INDEX(N190:N192,$H$182)</f>
      </c>
      <c r="O188" s="27" cm="1">
        <f t="array" ref="O188">INDEX(O190:O192,$H$182)</f>
      </c>
      <c r="P188" s="27" cm="1">
        <f t="array" ref="P188">INDEX(P190:P192,$H$182)</f>
      </c>
      <c r="Q188" s="27" cm="1">
        <f t="array" ref="Q188">INDEX(Q190:Q192,$H$182)</f>
      </c>
      <c r="R188" s="27" cm="1">
        <f t="array" ref="R188">INDEX(R190:R192,$H$182)</f>
      </c>
      <c r="S188" s="27" cm="1">
        <f t="array" ref="S188">INDEX(S190:S192,$H$182)</f>
      </c>
      <c r="T188" s="27" cm="1">
        <f t="array" ref="T188">INDEX(T190:T192,$H$182)</f>
      </c>
      <c r="U188" s="28" cm="1">
        <f t="array" ref="U188">INDEX(U190:U192,$H$182)</f>
      </c>
      <c r="V188" s="30"/>
    </row>
    <row r="189" spans="1:43" s="30" customFormat="1" ht="4.3499999999999996" customHeight="1" x14ac:dyDescent="0.25">
      <c r="B189" s="29"/>
      <c r="D189" s="31"/>
      <c r="E189" s="31"/>
      <c r="G189" s="32"/>
      <c r="H189" s="33"/>
      <c r="L189" s="34"/>
      <c r="M189" s="34"/>
      <c r="N189" s="34"/>
      <c r="O189" s="35"/>
      <c r="P189" s="35"/>
      <c r="Q189" s="35"/>
      <c r="R189" s="35"/>
      <c r="S189" s="35"/>
      <c r="T189" s="35"/>
      <c r="U189" s="35"/>
      <c r="X189" s="29"/>
      <c r="Z189" s="31"/>
      <c r="AA189" s="31"/>
      <c r="AC189" s="32"/>
      <c r="AD189" s="33"/>
      <c r="AH189" s="34"/>
      <c r="AI189" s="34"/>
      <c r="AJ189" s="34"/>
      <c r="AK189" s="35"/>
      <c r="AL189" s="35"/>
      <c r="AM189" s="35"/>
      <c r="AN189" s="35"/>
      <c r="AO189" s="35"/>
      <c r="AP189" s="35"/>
      <c r="AQ189" s="35"/>
    </row>
    <row r="190" spans="1:43" x14ac:dyDescent="0.3">
      <c r="D190" t="s">
        <v>136</v>
      </c>
      <c r="K190" s="25"/>
      <c r="L190" s="76">
        <f>U19</f>
      </c>
      <c r="M190" s="52">
        <f>L190</f>
      </c>
      <c r="N190" s="52">
        <f t="shared" ref="N190:U190" si="37">M190</f>
      </c>
      <c r="O190" s="52">
        <f t="shared" si="37"/>
      </c>
      <c r="P190" s="52">
        <f t="shared" si="37"/>
      </c>
      <c r="Q190" s="52">
        <f t="shared" si="37"/>
      </c>
      <c r="R190" s="52">
        <f t="shared" si="37"/>
      </c>
      <c r="S190" s="52">
        <f t="shared" si="37"/>
      </c>
      <c r="T190" s="52">
        <f t="shared" si="37"/>
      </c>
      <c r="U190" s="53">
        <f t="shared" si="37"/>
      </c>
    </row>
    <row r="191" spans="1:43" x14ac:dyDescent="0.3">
      <c r="A191" s="140">
        <v>-7.4999999999999997E-3</v>
      </c>
      <c r="D191" t="str">
        <f>"Best Case ("&amp;TEXT(A191*100,"0.00")&amp;"%)"</f>
      </c>
      <c r="K191" s="25"/>
      <c r="L191" s="65">
        <f t="shared" ref="L191:U192" si="38">L$190+$A191</f>
      </c>
      <c r="M191" s="58">
        <f t="shared" si="38"/>
      </c>
      <c r="N191" s="58">
        <f t="shared" si="38"/>
      </c>
      <c r="O191" s="58">
        <f t="shared" si="38"/>
      </c>
      <c r="P191" s="58">
        <f t="shared" si="38"/>
      </c>
      <c r="Q191" s="58">
        <f t="shared" si="38"/>
      </c>
      <c r="R191" s="58">
        <f t="shared" si="38"/>
      </c>
      <c r="S191" s="58">
        <f t="shared" si="38"/>
      </c>
      <c r="T191" s="58">
        <f t="shared" si="38"/>
      </c>
      <c r="U191" s="66">
        <f t="shared" si="38"/>
      </c>
    </row>
    <row r="192" spans="1:43" x14ac:dyDescent="0.3">
      <c r="A192" s="140">
        <v>7.4999999999999997E-3</v>
      </c>
      <c r="D192" t="str">
        <f>"Worst Case ("&amp;TEXT(A192*100,"0.00")&amp;"%)"</f>
      </c>
      <c r="K192" s="25"/>
      <c r="L192" s="67">
        <f t="shared" si="38"/>
      </c>
      <c r="M192" s="68">
        <f t="shared" si="38"/>
      </c>
      <c r="N192" s="68">
        <f t="shared" si="38"/>
      </c>
      <c r="O192" s="68">
        <f t="shared" si="38"/>
      </c>
      <c r="P192" s="68">
        <f t="shared" si="38"/>
      </c>
      <c r="Q192" s="68">
        <f t="shared" si="38"/>
      </c>
      <c r="R192" s="68">
        <f t="shared" si="38"/>
      </c>
      <c r="S192" s="68">
        <f t="shared" si="38"/>
      </c>
      <c r="T192" s="68">
        <f t="shared" si="38"/>
      </c>
      <c r="U192" s="69">
        <f t="shared" si="38"/>
      </c>
    </row>
    <row r="193" spans="1:43" s="30" customFormat="1" ht="6" customHeight="1" x14ac:dyDescent="0.25">
      <c r="B193" s="29"/>
      <c r="D193" s="31"/>
      <c r="E193" s="31"/>
      <c r="G193" s="32"/>
      <c r="H193" s="33"/>
      <c r="L193" s="34"/>
      <c r="M193" s="34"/>
      <c r="N193" s="34"/>
      <c r="O193" s="35"/>
      <c r="P193" s="35"/>
      <c r="Q193" s="35"/>
      <c r="R193" s="35"/>
      <c r="S193" s="35"/>
      <c r="T193" s="35"/>
      <c r="U193" s="35"/>
      <c r="X193" s="29"/>
      <c r="Z193" s="31"/>
      <c r="AA193" s="31"/>
      <c r="AC193" s="32"/>
      <c r="AD193" s="33"/>
      <c r="AH193" s="34"/>
      <c r="AI193" s="34"/>
      <c r="AJ193" s="34"/>
      <c r="AK193" s="35"/>
      <c r="AL193" s="35"/>
      <c r="AM193" s="35"/>
      <c r="AN193" s="35"/>
      <c r="AO193" s="35"/>
      <c r="AP193" s="35"/>
      <c r="AQ193" s="35"/>
    </row>
    <row r="194" spans="1:43" s="30" customFormat="1" ht="6" customHeight="1" x14ac:dyDescent="0.25">
      <c r="B194" s="29"/>
      <c r="D194" s="31"/>
      <c r="E194" s="31"/>
      <c r="G194" s="32"/>
      <c r="H194" s="33"/>
      <c r="L194" s="34"/>
      <c r="M194" s="34"/>
      <c r="N194" s="34"/>
      <c r="O194" s="35"/>
      <c r="P194" s="35"/>
      <c r="Q194" s="35"/>
      <c r="R194" s="35"/>
      <c r="S194" s="35"/>
      <c r="T194" s="35"/>
      <c r="U194" s="35"/>
      <c r="X194" s="29"/>
      <c r="Z194" s="31"/>
      <c r="AA194" s="31"/>
      <c r="AC194" s="32"/>
      <c r="AD194" s="33"/>
      <c r="AH194" s="34"/>
      <c r="AI194" s="34"/>
      <c r="AJ194" s="34"/>
      <c r="AK194" s="35"/>
      <c r="AL194" s="35"/>
      <c r="AM194" s="35"/>
      <c r="AN194" s="35"/>
      <c r="AO194" s="35"/>
      <c r="AP194" s="35"/>
      <c r="AQ194" s="35"/>
    </row>
    <row r="195" spans="1:43" x14ac:dyDescent="0.3">
      <c r="C195" s="2" t="s">
        <v>128</v>
      </c>
      <c r="K195" s="25"/>
      <c r="L195" s="26" cm="1">
        <f t="array" ref="L195">INDEX(L197:L199,$H$182)</f>
      </c>
      <c r="M195" s="27" cm="1">
        <f t="array" ref="M195">INDEX(M197:M199,$H$182)</f>
      </c>
      <c r="N195" s="27" cm="1">
        <f t="array" ref="N195">INDEX(N197:N199,$H$182)</f>
      </c>
      <c r="O195" s="27" cm="1">
        <f t="array" ref="O195">INDEX(O197:O199,$H$182)</f>
      </c>
      <c r="P195" s="27" cm="1">
        <f t="array" ref="P195">INDEX(P197:P199,$H$182)</f>
      </c>
      <c r="Q195" s="27" cm="1">
        <f t="array" ref="Q195">INDEX(Q197:Q199,$H$182)</f>
      </c>
      <c r="R195" s="27" cm="1">
        <f t="array" ref="R195">INDEX(R197:R199,$H$182)</f>
      </c>
      <c r="S195" s="27" cm="1">
        <f t="array" ref="S195">INDEX(S197:S199,$H$182)</f>
      </c>
      <c r="T195" s="27" cm="1">
        <f t="array" ref="T195">INDEX(T197:T199,$H$182)</f>
      </c>
      <c r="U195" s="28" cm="1">
        <f t="array" ref="U195">INDEX(U197:U199,$H$182)</f>
      </c>
      <c r="V195" s="30"/>
    </row>
    <row r="196" spans="1:43" s="30" customFormat="1" ht="4.3499999999999996" customHeight="1" x14ac:dyDescent="0.25">
      <c r="B196" s="29"/>
      <c r="D196" s="31"/>
      <c r="E196" s="31"/>
      <c r="G196" s="32"/>
      <c r="H196" s="33"/>
      <c r="L196" s="34"/>
      <c r="M196" s="34"/>
      <c r="N196" s="34"/>
      <c r="O196" s="35"/>
      <c r="P196" s="35"/>
      <c r="Q196" s="35"/>
      <c r="R196" s="35"/>
      <c r="S196" s="35"/>
      <c r="T196" s="35"/>
      <c r="U196" s="35"/>
      <c r="X196" s="29"/>
      <c r="Z196" s="31"/>
      <c r="AA196" s="31"/>
      <c r="AC196" s="32"/>
      <c r="AD196" s="33"/>
      <c r="AH196" s="34"/>
      <c r="AI196" s="34"/>
      <c r="AJ196" s="34"/>
      <c r="AK196" s="35"/>
      <c r="AL196" s="35"/>
      <c r="AM196" s="35"/>
      <c r="AN196" s="35"/>
      <c r="AO196" s="35"/>
      <c r="AP196" s="35"/>
      <c r="AQ196" s="35"/>
    </row>
    <row r="197" spans="1:43" x14ac:dyDescent="0.3">
      <c r="D197" t="s">
        <v>136</v>
      </c>
      <c r="K197" s="25"/>
      <c r="L197" s="76">
        <f>U18</f>
      </c>
      <c r="M197" s="52">
        <f>L197</f>
      </c>
      <c r="N197" s="52">
        <f t="shared" ref="N197" si="39">M197</f>
      </c>
      <c r="O197" s="52">
        <f t="shared" ref="O197" si="40">N197</f>
      </c>
      <c r="P197" s="52">
        <f t="shared" ref="P197" si="41">O197</f>
      </c>
      <c r="Q197" s="52">
        <f t="shared" ref="Q197" si="42">P197</f>
      </c>
      <c r="R197" s="52">
        <f t="shared" ref="R197" si="43">Q197</f>
      </c>
      <c r="S197" s="52">
        <f t="shared" ref="S197" si="44">R197</f>
      </c>
      <c r="T197" s="52">
        <f t="shared" ref="T197" si="45">S197</f>
      </c>
      <c r="U197" s="53">
        <f t="shared" ref="U197" si="46">T197</f>
      </c>
    </row>
    <row r="198" spans="1:43" x14ac:dyDescent="0.3">
      <c r="A198" s="140">
        <v>-7.4999999999999997E-3</v>
      </c>
      <c r="D198" t="str">
        <f>"Best Case ("&amp;TEXT(A198*100,"0.00")&amp;"%)"</f>
      </c>
      <c r="K198" s="25"/>
      <c r="L198" s="65">
        <f t="shared" ref="L198:U199" si="47">L$190+$A198</f>
      </c>
      <c r="M198" s="58">
        <f t="shared" si="47"/>
      </c>
      <c r="N198" s="58">
        <f t="shared" si="47"/>
      </c>
      <c r="O198" s="58">
        <f t="shared" si="47"/>
      </c>
      <c r="P198" s="58">
        <f t="shared" si="47"/>
      </c>
      <c r="Q198" s="58">
        <f t="shared" si="47"/>
      </c>
      <c r="R198" s="58">
        <f t="shared" si="47"/>
      </c>
      <c r="S198" s="58">
        <f t="shared" si="47"/>
      </c>
      <c r="T198" s="58">
        <f t="shared" si="47"/>
      </c>
      <c r="U198" s="66">
        <f t="shared" si="47"/>
      </c>
    </row>
    <row r="199" spans="1:43" x14ac:dyDescent="0.3">
      <c r="A199" s="140">
        <v>7.4999999999999997E-3</v>
      </c>
      <c r="D199" t="str">
        <f>"Worst Case ("&amp;TEXT(A199*100,"0.00")&amp;"%)"</f>
      </c>
      <c r="K199" s="25"/>
      <c r="L199" s="67">
        <f t="shared" si="47"/>
      </c>
      <c r="M199" s="68">
        <f t="shared" si="47"/>
      </c>
      <c r="N199" s="68">
        <f t="shared" si="47"/>
      </c>
      <c r="O199" s="68">
        <f t="shared" si="47"/>
      </c>
      <c r="P199" s="68">
        <f t="shared" si="47"/>
      </c>
      <c r="Q199" s="68">
        <f t="shared" si="47"/>
      </c>
      <c r="R199" s="68">
        <f t="shared" si="47"/>
      </c>
      <c r="S199" s="68">
        <f t="shared" si="47"/>
      </c>
      <c r="T199" s="68">
        <f t="shared" si="47"/>
      </c>
      <c r="U199" s="69">
        <f t="shared" si="47"/>
      </c>
    </row>
    <row r="200" spans="1:43" s="30" customFormat="1" ht="6" customHeight="1" x14ac:dyDescent="0.25">
      <c r="B200" s="29"/>
      <c r="D200" s="31"/>
      <c r="E200" s="31"/>
      <c r="G200" s="32"/>
      <c r="H200" s="33"/>
      <c r="L200" s="34"/>
      <c r="M200" s="34"/>
      <c r="N200" s="34"/>
      <c r="O200" s="35"/>
      <c r="P200" s="35"/>
      <c r="Q200" s="35"/>
      <c r="R200" s="35"/>
      <c r="S200" s="35"/>
      <c r="T200" s="35"/>
      <c r="U200" s="35"/>
      <c r="X200" s="29"/>
      <c r="Z200" s="31"/>
      <c r="AA200" s="31"/>
      <c r="AC200" s="32"/>
      <c r="AD200" s="33"/>
      <c r="AH200" s="34"/>
      <c r="AI200" s="34"/>
      <c r="AJ200" s="34"/>
      <c r="AK200" s="35"/>
      <c r="AL200" s="35"/>
      <c r="AM200" s="35"/>
      <c r="AN200" s="35"/>
      <c r="AO200" s="35"/>
      <c r="AP200" s="35"/>
      <c r="AQ200" s="35"/>
    </row>
    <row r="201" spans="1:43" x14ac:dyDescent="0.3">
      <c r="C201" s="2" t="s">
        <v>132</v>
      </c>
      <c r="K201" s="25"/>
      <c r="L201" s="26" cm="1">
        <f t="array" ref="L201">INDEX(L203:L205,$H$182)</f>
      </c>
      <c r="M201" s="27" cm="1">
        <f t="array" ref="M201">INDEX(M203:M205,$H$182)</f>
      </c>
      <c r="N201" s="27" cm="1">
        <f t="array" ref="N201">INDEX(N203:N205,$H$182)</f>
      </c>
      <c r="O201" s="27" cm="1">
        <f t="array" ref="O201">INDEX(O203:O205,$H$182)</f>
      </c>
      <c r="P201" s="27" cm="1">
        <f t="array" ref="P201">INDEX(P203:P205,$H$182)</f>
      </c>
      <c r="Q201" s="27" cm="1">
        <f t="array" ref="Q201">INDEX(Q203:Q205,$H$182)</f>
      </c>
      <c r="R201" s="27" cm="1">
        <f t="array" ref="R201">INDEX(R203:R205,$H$182)</f>
      </c>
      <c r="S201" s="27" cm="1">
        <f t="array" ref="S201">INDEX(S203:S205,$H$182)</f>
      </c>
      <c r="T201" s="27" cm="1">
        <f t="array" ref="T201">INDEX(T203:T205,$H$182)</f>
      </c>
      <c r="U201" s="28" cm="1">
        <f t="array" ref="U201">INDEX(U203:U205,$H$182)</f>
      </c>
      <c r="V201" s="30"/>
    </row>
    <row r="202" spans="1:43" s="30" customFormat="1" ht="4.3499999999999996" customHeight="1" x14ac:dyDescent="0.25">
      <c r="B202" s="29"/>
      <c r="D202" s="31"/>
      <c r="E202" s="31"/>
      <c r="G202" s="32"/>
      <c r="H202" s="33"/>
      <c r="L202" s="34"/>
      <c r="M202" s="34"/>
      <c r="N202" s="34"/>
      <c r="O202" s="35"/>
      <c r="P202" s="35"/>
      <c r="Q202" s="35"/>
      <c r="R202" s="35"/>
      <c r="S202" s="35"/>
      <c r="T202" s="35"/>
      <c r="U202" s="35"/>
      <c r="X202" s="29"/>
      <c r="Z202" s="31"/>
      <c r="AA202" s="31"/>
      <c r="AC202" s="32"/>
      <c r="AD202" s="33"/>
      <c r="AH202" s="34"/>
      <c r="AI202" s="34"/>
      <c r="AJ202" s="34"/>
      <c r="AK202" s="35"/>
      <c r="AL202" s="35"/>
      <c r="AM202" s="35"/>
      <c r="AN202" s="35"/>
      <c r="AO202" s="35"/>
      <c r="AP202" s="35"/>
      <c r="AQ202" s="35"/>
    </row>
    <row r="203" spans="1:43" x14ac:dyDescent="0.3">
      <c r="D203" t="s">
        <v>136</v>
      </c>
      <c r="K203" s="25"/>
      <c r="L203" s="76">
        <f>U17</f>
      </c>
      <c r="M203" s="52">
        <f>L203</f>
      </c>
      <c r="N203" s="52">
        <f t="shared" ref="N203:U203" si="48">M203</f>
      </c>
      <c r="O203" s="52">
        <f t="shared" si="48"/>
      </c>
      <c r="P203" s="52">
        <f t="shared" si="48"/>
      </c>
      <c r="Q203" s="52">
        <f t="shared" si="48"/>
      </c>
      <c r="R203" s="52">
        <f t="shared" si="48"/>
      </c>
      <c r="S203" s="52">
        <f t="shared" si="48"/>
      </c>
      <c r="T203" s="52">
        <f t="shared" si="48"/>
      </c>
      <c r="U203" s="53">
        <f t="shared" si="48"/>
      </c>
    </row>
    <row r="204" spans="1:43" x14ac:dyDescent="0.3">
      <c r="A204" s="22">
        <v>-0.01</v>
      </c>
      <c r="D204" t="str">
        <f>"Best Case ("&amp;TEXT(A204*100,"0.00")&amp;"%)"</f>
      </c>
      <c r="K204" s="25"/>
      <c r="L204" s="65">
        <f>L$203+$A204</f>
      </c>
      <c r="M204" s="58">
        <f t="shared" ref="M204:U205" si="49">M$203+$A204</f>
      </c>
      <c r="N204" s="58">
        <f t="shared" si="49"/>
      </c>
      <c r="O204" s="58">
        <f t="shared" si="49"/>
      </c>
      <c r="P204" s="58">
        <f t="shared" si="49"/>
      </c>
      <c r="Q204" s="58">
        <f t="shared" si="49"/>
      </c>
      <c r="R204" s="58">
        <f t="shared" si="49"/>
      </c>
      <c r="S204" s="58">
        <f t="shared" si="49"/>
      </c>
      <c r="T204" s="58">
        <f t="shared" si="49"/>
      </c>
      <c r="U204" s="66">
        <f t="shared" si="49"/>
      </c>
    </row>
    <row r="205" spans="1:43" x14ac:dyDescent="0.3">
      <c r="A205" s="22">
        <v>0.01</v>
      </c>
      <c r="D205" t="str">
        <f>"Worst Case ("&amp;TEXT(A205*100,"0.00")&amp;"%)"</f>
      </c>
      <c r="K205" s="25"/>
      <c r="L205" s="67">
        <f>L$203+$A205</f>
      </c>
      <c r="M205" s="68">
        <f t="shared" si="49"/>
      </c>
      <c r="N205" s="68">
        <f t="shared" si="49"/>
      </c>
      <c r="O205" s="68">
        <f t="shared" si="49"/>
      </c>
      <c r="P205" s="68">
        <f t="shared" si="49"/>
      </c>
      <c r="Q205" s="68">
        <f t="shared" si="49"/>
      </c>
      <c r="R205" s="68">
        <f t="shared" si="49"/>
      </c>
      <c r="S205" s="68">
        <f t="shared" si="49"/>
      </c>
      <c r="T205" s="68">
        <f t="shared" si="49"/>
      </c>
      <c r="U205" s="69">
        <f t="shared" si="49"/>
      </c>
    </row>
    <row r="206" spans="1:43" x14ac:dyDescent="0.3">
      <c r="A206" s="22"/>
      <c r="K206" s="25"/>
      <c r="L206" s="58"/>
      <c r="M206" s="58"/>
      <c r="N206" s="58"/>
      <c r="O206" s="58"/>
      <c r="P206" s="58"/>
      <c r="Q206" s="58"/>
      <c r="R206" s="58"/>
      <c r="S206" s="58"/>
      <c r="T206" s="58"/>
      <c r="U206" s="58"/>
    </row>
    <row r="207" spans="1:43" x14ac:dyDescent="0.3">
      <c r="A207" s="22"/>
      <c r="K207" s="25"/>
      <c r="L207" s="58"/>
      <c r="M207" s="58"/>
      <c r="N207" s="58"/>
      <c r="O207" s="58"/>
      <c r="P207" s="58"/>
      <c r="Q207" s="58"/>
      <c r="R207" s="58"/>
      <c r="S207" s="58"/>
      <c r="T207" s="58"/>
      <c r="U207" s="58"/>
    </row>
  </sheetData>
  <dataValidations count="3">
    <dataValidation type="list" allowBlank="1" sqref="U11" xr:uid="{35159564-8562-4579-9846-E2F93649E87D}">
      <formula1>"Yes, No"</formula1>
    </dataValidation>
    <dataValidation type="list" allowBlank="1" sqref="AC16" xr:uid="{BF0E37B5-3D4E-48A0-8532-3CDB395EFA37}">
      <formula1>"AAA,AA,A,BBB,BB or lower"</formula1>
    </dataValidation>
    <dataValidation type="list" allowBlank="1" sqref="AC22" xr:uid="{0816CCFC-2943-4504-BCD2-2066737C6C67}">
      <formula1>"High-growth, Quality compounder, Market average, Slow-growth, Troubled/distressed"</formula1>
    </dataValidation>
  </dataValidations>
  <printOptions horizontalCentered="1"/>
  <pageMargins left="0.19685039370078741" right="0.19685039370078741" top="0.19685039370078741" bottom="0.19685039370078741" header="0.11811023622047245" footer="0.11811023622047245"/>
  <pageSetup paperSize="5" scale="95" orientation="landscape" r:id="rId1"/>
  <headerFooter>
    <oddFooter>&amp;L&amp;A&amp;CPage &amp;P of &amp;N&amp;R&amp;F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6" r:id="rId4" name="Drop Down 2">
              <controlPr defaultSize="0" autoLine="0" autoPict="0">
                <anchor moveWithCells="1">
                  <from>
                    <xdr:col>7</xdr:col>
                    <xdr:colOff>0</xdr:colOff>
                    <xdr:row>181</xdr:row>
                    <xdr:rowOff>7620</xdr:rowOff>
                  </from>
                  <to>
                    <xdr:col>8</xdr:col>
                    <xdr:colOff>76200</xdr:colOff>
                    <xdr:row>182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5" name="Drop Down 3">
              <controlPr defaultSize="0" autoLine="0" autoPict="0">
                <anchor moveWithCells="1">
                  <from>
                    <xdr:col>6</xdr:col>
                    <xdr:colOff>579120</xdr:colOff>
                    <xdr:row>181</xdr:row>
                    <xdr:rowOff>7620</xdr:rowOff>
                  </from>
                  <to>
                    <xdr:col>9</xdr:col>
                    <xdr:colOff>114300</xdr:colOff>
                    <xdr:row>182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3" r:id="rId6" name="Drop Down 9">
              <controlPr defaultSize="0" autoLine="0" autoPict="0">
                <anchor moveWithCells="1">
                  <from>
                    <xdr:col>6</xdr:col>
                    <xdr:colOff>579120</xdr:colOff>
                    <xdr:row>181</xdr:row>
                    <xdr:rowOff>7620</xdr:rowOff>
                  </from>
                  <to>
                    <xdr:col>9</xdr:col>
                    <xdr:colOff>114300</xdr:colOff>
                    <xdr:row>182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5" r:id="rId7" name="Drop Down 1">
              <controlPr defaultSize="0" autoLine="0" autoPict="0">
                <anchor moveWithCells="1">
                  <from>
                    <xdr:col>6</xdr:col>
                    <xdr:colOff>579120</xdr:colOff>
                    <xdr:row>87</xdr:row>
                    <xdr:rowOff>7620</xdr:rowOff>
                  </from>
                  <to>
                    <xdr:col>9</xdr:col>
                    <xdr:colOff>114300</xdr:colOff>
                    <xdr:row>89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5F4B-A0A8-44A0-BAF4-A07CFA6D48D4}">
  <dimension ref="B3:AH687"/>
  <sheetViews>
    <sheetView showGridLines="0" view="pageBreakPreview" zoomScaleNormal="100" zoomScaleSheetLayoutView="100" workbookViewId="0">
      <selection activeCell="H10" sqref="H10"/>
    </sheetView>
  </sheetViews>
  <sheetFormatPr defaultRowHeight="14.4" x14ac:dyDescent="0.3"/>
  <cols>
    <col min="2" max="2" width="1.88671875" customWidth="1"/>
    <col min="3" max="5" width="2.44140625" customWidth="1"/>
    <col min="9" max="9" width="1.88671875" customWidth="1"/>
    <col min="10" max="21" width="11.88671875" bestFit="1" customWidth="1"/>
    <col min="22" max="23" width="1.88671875" customWidth="1"/>
    <col min="25" max="35" width="10.6640625" customWidth="1"/>
  </cols>
  <sheetData>
    <row r="3" spans="2:34" ht="18" x14ac:dyDescent="0.35">
      <c r="B3" s="148" t="str">
        <f>'Assumptions&amp;Scenario'!$K$10</f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 spans="2:34" ht="18" thickBot="1" x14ac:dyDescent="0.35">
      <c r="B4" s="47" t="s">
        <v>211</v>
      </c>
      <c r="C4" s="48"/>
      <c r="D4" s="48"/>
      <c r="E4" s="48"/>
      <c r="F4" s="48"/>
      <c r="G4" s="48"/>
      <c r="H4" s="49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Y4" s="47" t="s">
        <v>305</v>
      </c>
      <c r="Z4" s="48"/>
      <c r="AA4" s="48"/>
      <c r="AB4" s="48"/>
      <c r="AC4" s="48"/>
      <c r="AD4" s="48"/>
      <c r="AE4" s="48"/>
      <c r="AF4" s="48"/>
      <c r="AG4" s="48"/>
      <c r="AH4" s="48"/>
    </row>
    <row r="5" spans="2:34" x14ac:dyDescent="0.3">
      <c r="C5" s="2"/>
      <c r="D5" s="2"/>
      <c r="E5" s="2"/>
      <c r="F5" s="2"/>
      <c r="L5" s="83"/>
      <c r="M5" s="83"/>
      <c r="N5" s="83"/>
      <c r="O5" s="83"/>
      <c r="P5" s="83"/>
      <c r="Q5" s="83"/>
      <c r="R5" s="83"/>
      <c r="S5" s="83"/>
      <c r="T5" s="83"/>
      <c r="U5" s="83"/>
      <c r="Y5" s="83"/>
      <c r="Z5" s="83"/>
      <c r="AA5" s="83"/>
      <c r="AB5" s="83"/>
      <c r="AC5" s="83"/>
      <c r="AD5" s="83"/>
      <c r="AE5" s="83"/>
      <c r="AF5" s="83"/>
      <c r="AG5" s="83"/>
      <c r="AH5" s="83"/>
    </row>
    <row r="6" spans="2:34" ht="15.6" x14ac:dyDescent="0.3">
      <c r="C6" s="43" t="s">
        <v>389</v>
      </c>
      <c r="D6" s="43"/>
      <c r="E6" s="43"/>
      <c r="F6" s="43"/>
      <c r="G6" s="43"/>
      <c r="H6" s="44"/>
      <c r="I6" s="44"/>
      <c r="J6" s="44" t="str">
        <f>"FY"&amp;TEXT(RIGHT(K6,2)-(COLUMN(K6)-COLUMN()),"00")</f>
      </c>
      <c r="K6" s="44" t="str">
        <f t="shared" ref="K6:T6" si="0">"FY"&amp;TEXT(RIGHT(L6,2)-(COLUMN(L6)-COLUMN()),"00")</f>
      </c>
      <c r="L6" s="79" t="str">
        <f t="shared" si="0"/>
      </c>
      <c r="M6" s="79" t="str">
        <f t="shared" si="0"/>
      </c>
      <c r="N6" s="79" t="str">
        <f t="shared" si="0"/>
      </c>
      <c r="O6" s="79" t="str">
        <f t="shared" si="0"/>
      </c>
      <c r="P6" s="79" t="str">
        <f t="shared" si="0"/>
      </c>
      <c r="Q6" s="79" t="str">
        <f t="shared" si="0"/>
      </c>
      <c r="R6" s="79" t="str">
        <f t="shared" si="0"/>
      </c>
      <c r="S6" s="79" t="str">
        <f t="shared" si="0"/>
      </c>
      <c r="T6" s="79" t="str">
        <f t="shared" si="0"/>
      </c>
      <c r="U6" s="79" t="str">
        <f>"FY"&amp;TEXT(DATE(YEAR('Data Sheet'!$K$16)+(MONTH('Data Sheet'!$K$16)&gt;3),1,1),"YY")</f>
      </c>
      <c r="Y6" s="44" t="str">
        <f>Model!$L$6</f>
      </c>
      <c r="Z6" s="44" t="str">
        <f t="shared" ref="Z6" si="1">"FY"&amp;TEXT(RIGHT(Y6,2)+COLUMN()-COLUMN(Y6),"00")</f>
      </c>
      <c r="AA6" s="44" t="str">
        <f t="shared" ref="AA6" si="2">"FY"&amp;TEXT(RIGHT(Z6,2)+COLUMN()-COLUMN(Z6),"00")</f>
      </c>
      <c r="AB6" s="44" t="str">
        <f t="shared" ref="AB6" si="3">"FY"&amp;TEXT(RIGHT(AA6,2)+COLUMN()-COLUMN(AA6),"00")</f>
      </c>
      <c r="AC6" s="44" t="str">
        <f t="shared" ref="AC6" si="4">"FY"&amp;TEXT(RIGHT(AB6,2)+COLUMN()-COLUMN(AB6),"00")</f>
      </c>
      <c r="AD6" s="44" t="str">
        <f t="shared" ref="AD6" si="5">"FY"&amp;TEXT(RIGHT(AC6,2)+COLUMN()-COLUMN(AC6),"00")</f>
      </c>
      <c r="AE6" s="44" t="str">
        <f t="shared" ref="AE6" si="6">"FY"&amp;TEXT(RIGHT(AD6,2)+COLUMN()-COLUMN(AD6),"00")</f>
      </c>
      <c r="AF6" s="44" t="str">
        <f t="shared" ref="AF6" si="7">"FY"&amp;TEXT(RIGHT(AE6,2)+COLUMN()-COLUMN(AE6),"00")</f>
      </c>
      <c r="AG6" s="44" t="str">
        <f t="shared" ref="AG6" si="8">"FY"&amp;TEXT(RIGHT(AF6,2)+COLUMN()-COLUMN(AF6),"00")</f>
      </c>
      <c r="AH6" s="44" t="str">
        <f t="shared" ref="AH6" si="9">"FY"&amp;TEXT(RIGHT(AG6,2)+COLUMN()-COLUMN(AG6),"00")</f>
      </c>
    </row>
    <row r="7" spans="2:34" ht="3" customHeight="1" x14ac:dyDescent="0.3"/>
    <row r="8" spans="2:34" ht="3" customHeight="1" x14ac:dyDescent="0.3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2:34" ht="3" customHeight="1" x14ac:dyDescent="0.3"/>
    <row r="10" spans="2:34" x14ac:dyDescent="0.3">
      <c r="C10" s="2" t="s">
        <v>83</v>
      </c>
      <c r="H10" s="225" t="s">
        <v>134</v>
      </c>
      <c r="J10" s="56"/>
      <c r="K10" s="56"/>
      <c r="L10" s="56">
        <f>IFERROR('Data Sheet'!B17, 0)</f>
      </c>
      <c r="M10" s="56">
        <f>IFERROR('Data Sheet'!C17, 0)</f>
      </c>
      <c r="N10" s="56">
        <f>IFERROR('Data Sheet'!D17, 0)</f>
      </c>
      <c r="O10" s="56">
        <f>IFERROR('Data Sheet'!E17, 0)</f>
      </c>
      <c r="P10" s="56">
        <f>IFERROR('Data Sheet'!F17, 0)</f>
      </c>
      <c r="Q10" s="56">
        <f>IFERROR('Data Sheet'!G17, 0)</f>
      </c>
      <c r="R10" s="56">
        <f>IFERROR('Data Sheet'!H17, 0)</f>
      </c>
      <c r="S10" s="56">
        <f>IFERROR('Data Sheet'!I17, 0)</f>
      </c>
      <c r="T10" s="56">
        <f>IFERROR('Data Sheet'!J17, 0)</f>
      </c>
      <c r="U10" s="56">
        <f>IFERROR('Data Sheet'!K17, 0)</f>
      </c>
      <c r="Y10" s="90" cm="1">
        <f t="array" ref="Y10">IFERROR(_xlfn.FORECAST.LINEAR(RIGHT(Y$6,2), $J10:$U10, VALUE(RIGHT($J$6:$U$6,2))), 0)</f>
      </c>
      <c r="Z10" s="90" cm="1">
        <f t="array" ref="Z10">IFERROR(_xlfn.FORECAST.LINEAR(RIGHT(Z$6,2), $J10:$U10, VALUE(RIGHT($J$6:$U$6,2))), 0)</f>
      </c>
      <c r="AA10" s="90" cm="1">
        <f t="array" ref="AA10">IFERROR(_xlfn.FORECAST.LINEAR(RIGHT(AA$6,2), $J10:$U10, VALUE(RIGHT($J$6:$U$6,2))), 0)</f>
      </c>
      <c r="AB10" s="90" cm="1">
        <f t="array" ref="AB10">IFERROR(_xlfn.FORECAST.LINEAR(RIGHT(AB$6,2), $J10:$U10, VALUE(RIGHT($J$6:$U$6,2))), 0)</f>
      </c>
      <c r="AC10" s="90" cm="1">
        <f t="array" ref="AC10">IFERROR(_xlfn.FORECAST.LINEAR(RIGHT(AC$6,2), $J10:$U10, VALUE(RIGHT($J$6:$U$6,2))), 0)</f>
      </c>
      <c r="AD10" s="90" cm="1">
        <f t="array" ref="AD10">IFERROR(_xlfn.FORECAST.LINEAR(RIGHT(AD$6,2), $J10:$U10, VALUE(RIGHT($J$6:$U$6,2))), 0)</f>
      </c>
      <c r="AE10" s="90" cm="1">
        <f t="array" ref="AE10">IFERROR(_xlfn.FORECAST.LINEAR(RIGHT(AE$6,2), $J10:$U10, VALUE(RIGHT($J$6:$U$6,2))), 0)</f>
      </c>
      <c r="AF10" s="90" cm="1">
        <f t="array" ref="AF10">IFERROR(_xlfn.FORECAST.LINEAR(RIGHT(AF$6,2), $J10:$U10, VALUE(RIGHT($J$6:$U$6,2))), 0)</f>
      </c>
      <c r="AG10" s="90" cm="1">
        <f t="array" ref="AG10">IFERROR(_xlfn.FORECAST.LINEAR(RIGHT(AG$6,2), $J10:$U10, VALUE(RIGHT($J$6:$U$6,2))), 0)</f>
      </c>
      <c r="AH10" s="90" cm="1">
        <f t="array" ref="AH10">IFERROR(_xlfn.FORECAST.LINEAR(RIGHT(AH$6,2), $J10:$U10, VALUE(RIGHT($J$6:$U$6,2))), 0)</f>
      </c>
    </row>
    <row r="11" spans="2:34" x14ac:dyDescent="0.3">
      <c r="D11" s="78" t="s">
        <v>213</v>
      </c>
      <c r="K11" s="85">
        <f t="shared" ref="K11" si="10">IFERROR(K10/J10-1, 0)</f>
      </c>
      <c r="L11" s="85">
        <f t="shared" ref="L11" si="11">IFERROR(L10/K10-1, 0)</f>
      </c>
      <c r="M11" s="85">
        <f t="shared" ref="M11" si="12">IFERROR(M10/L10-1, 0)</f>
      </c>
      <c r="N11" s="85">
        <f t="shared" ref="N11" si="13">IFERROR(N10/M10-1, 0)</f>
      </c>
      <c r="O11" s="85">
        <f t="shared" ref="O11" si="14">IFERROR(O10/N10-1, 0)</f>
      </c>
      <c r="P11" s="85">
        <f t="shared" ref="P11" si="15">IFERROR(P10/O10-1, 0)</f>
      </c>
      <c r="Q11" s="85">
        <f t="shared" ref="Q11" si="16">IFERROR(Q10/P10-1, 0)</f>
      </c>
      <c r="R11" s="85">
        <f t="shared" ref="R11" si="17">IFERROR(R10/Q10-1, 0)</f>
      </c>
      <c r="S11" s="85">
        <f t="shared" ref="S11" si="18">IFERROR(S10/R10-1, 0)</f>
      </c>
      <c r="T11" s="85">
        <f t="shared" ref="T11" si="19">IFERROR(T10/S10-1, 0)</f>
      </c>
      <c r="U11" s="85">
        <f t="shared" ref="U11" si="20">IFERROR(U10/T10-1, 0)</f>
      </c>
      <c r="Y11" s="85">
        <f>IFERROR(Y10/U10-1, 0)</f>
      </c>
      <c r="Z11" s="85">
        <f t="shared" ref="Z11" si="21">IFERROR(Z10/Y10-1, 0)</f>
      </c>
      <c r="AA11" s="85">
        <f t="shared" ref="AA11" si="22">IFERROR(AA10/Z10-1, 0)</f>
      </c>
      <c r="AB11" s="85">
        <f t="shared" ref="AB11" si="23">IFERROR(AB10/AA10-1, 0)</f>
      </c>
      <c r="AC11" s="85">
        <f t="shared" ref="AC11" si="24">IFERROR(AC10/AB10-1, 0)</f>
      </c>
      <c r="AD11" s="85">
        <f t="shared" ref="AD11" si="25">IFERROR(AD10/AC10-1, 0)</f>
      </c>
      <c r="AE11" s="85">
        <f t="shared" ref="AE11" si="26">IFERROR(AE10/AD10-1, 0)</f>
      </c>
      <c r="AF11" s="85">
        <f t="shared" ref="AF11" si="27">IFERROR(AF10/AE10-1, 0)</f>
      </c>
      <c r="AG11" s="85">
        <f t="shared" ref="AG11" si="28">IFERROR(AG10/AF10-1, 0)</f>
      </c>
      <c r="AH11" s="85">
        <f t="shared" ref="AH11" si="29">IFERROR(AH10/AG10-1, 0)</f>
      </c>
    </row>
    <row r="12" spans="2:34" x14ac:dyDescent="0.3">
      <c r="D12" s="78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</row>
    <row r="13" spans="2:34" x14ac:dyDescent="0.3">
      <c r="C13" s="2" t="s">
        <v>189</v>
      </c>
      <c r="H13" s="225" t="s">
        <v>134</v>
      </c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spans="2:34" x14ac:dyDescent="0.3">
      <c r="D14" s="84" t="s">
        <v>190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Y14" s="71" cm="1">
        <f t="array" ref="Y14">IFERROR(_xlfn.FORECAST.LINEAR(RIGHT(Y$6,2), $J14:$U14, VALUE(RIGHT($J$6:$U$6,2))), 0)</f>
      </c>
      <c r="Z14" s="71" cm="1">
        <f t="array" ref="Z14">IFERROR(_xlfn.FORECAST.LINEAR(RIGHT(Z$6,2), $J14:$U14, VALUE(RIGHT($J$6:$U$6,2))), 0)</f>
      </c>
      <c r="AA14" s="71" cm="1">
        <f t="array" ref="AA14">IFERROR(_xlfn.FORECAST.LINEAR(RIGHT(AA$6,2), $J14:$U14, VALUE(RIGHT($J$6:$U$6,2))), 0)</f>
      </c>
      <c r="AB14" s="71" cm="1">
        <f t="array" ref="AB14">IFERROR(_xlfn.FORECAST.LINEAR(RIGHT(AB$6,2), $J14:$U14, VALUE(RIGHT($J$6:$U$6,2))), 0)</f>
      </c>
      <c r="AC14" s="71" cm="1">
        <f t="array" ref="AC14">IFERROR(_xlfn.FORECAST.LINEAR(RIGHT(AC$6,2), $J14:$U14, VALUE(RIGHT($J$6:$U$6,2))), 0)</f>
      </c>
      <c r="AD14" s="71" cm="1">
        <f t="array" ref="AD14">IFERROR(_xlfn.FORECAST.LINEAR(RIGHT(AD$6,2), $J14:$U14, VALUE(RIGHT($J$6:$U$6,2))), 0)</f>
      </c>
      <c r="AE14" s="71" cm="1">
        <f t="array" ref="AE14">IFERROR(_xlfn.FORECAST.LINEAR(RIGHT(AE$6,2), $J14:$U14, VALUE(RIGHT($J$6:$U$6,2))), 0)</f>
      </c>
      <c r="AF14" s="71" cm="1">
        <f t="array" ref="AF14">IFERROR(_xlfn.FORECAST.LINEAR(RIGHT(AF$6,2), $J14:$U14, VALUE(RIGHT($J$6:$U$6,2))), 0)</f>
      </c>
      <c r="AG14" s="71" cm="1">
        <f t="array" ref="AG14">IFERROR(_xlfn.FORECAST.LINEAR(RIGHT(AG$6,2), $J14:$U14, VALUE(RIGHT($J$6:$U$6,2))), 0)</f>
      </c>
      <c r="AH14" s="71" cm="1">
        <f t="array" ref="AH14">IFERROR(_xlfn.FORECAST.LINEAR(RIGHT(AH$6,2), $J14:$U14, VALUE(RIGHT($J$6:$U$6,2))), 0)</f>
      </c>
    </row>
    <row r="15" spans="2:34" x14ac:dyDescent="0.3">
      <c r="D15" s="84" t="s">
        <v>191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Y15" s="71" cm="1">
        <f t="array" ref="Y15">IFERROR(_xlfn.FORECAST.LINEAR(RIGHT(Y$6,2), $J15:$U15, VALUE(RIGHT($J$6:$U$6,2))), 0)</f>
      </c>
      <c r="Z15" s="71" cm="1">
        <f t="array" ref="Z15">IFERROR(_xlfn.FORECAST.LINEAR(RIGHT(Z$6,2), $J15:$U15, VALUE(RIGHT($J$6:$U$6,2))), 0)</f>
      </c>
      <c r="AA15" s="71" cm="1">
        <f t="array" ref="AA15">IFERROR(_xlfn.FORECAST.LINEAR(RIGHT(AA$6,2), $J15:$U15, VALUE(RIGHT($J$6:$U$6,2))), 0)</f>
      </c>
      <c r="AB15" s="71" cm="1">
        <f t="array" ref="AB15">IFERROR(_xlfn.FORECAST.LINEAR(RIGHT(AB$6,2), $J15:$U15, VALUE(RIGHT($J$6:$U$6,2))), 0)</f>
      </c>
      <c r="AC15" s="71" cm="1">
        <f t="array" ref="AC15">IFERROR(_xlfn.FORECAST.LINEAR(RIGHT(AC$6,2), $J15:$U15, VALUE(RIGHT($J$6:$U$6,2))), 0)</f>
      </c>
      <c r="AD15" s="71" cm="1">
        <f t="array" ref="AD15">IFERROR(_xlfn.FORECAST.LINEAR(RIGHT(AD$6,2), $J15:$U15, VALUE(RIGHT($J$6:$U$6,2))), 0)</f>
      </c>
      <c r="AE15" s="71" cm="1">
        <f t="array" ref="AE15">IFERROR(_xlfn.FORECAST.LINEAR(RIGHT(AE$6,2), $J15:$U15, VALUE(RIGHT($J$6:$U$6,2))), 0)</f>
      </c>
      <c r="AF15" s="71" cm="1">
        <f t="array" ref="AF15">IFERROR(_xlfn.FORECAST.LINEAR(RIGHT(AF$6,2), $J15:$U15, VALUE(RIGHT($J$6:$U$6,2))), 0)</f>
      </c>
      <c r="AG15" s="71" cm="1">
        <f t="array" ref="AG15">IFERROR(_xlfn.FORECAST.LINEAR(RIGHT(AG$6,2), $J15:$U15, VALUE(RIGHT($J$6:$U$6,2))), 0)</f>
      </c>
      <c r="AH15" s="71" cm="1">
        <f t="array" ref="AH15">IFERROR(_xlfn.FORECAST.LINEAR(RIGHT(AH$6,2), $J15:$U15, VALUE(RIGHT($J$6:$U$6,2))), 0)</f>
      </c>
    </row>
    <row r="16" spans="2:34" x14ac:dyDescent="0.3">
      <c r="D16" s="84" t="s">
        <v>192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Y16" s="71" cm="1">
        <f t="array" ref="Y16">IFERROR(_xlfn.FORECAST.LINEAR(RIGHT(Y$6,2), $J16:$U16, VALUE(RIGHT($J$6:$U$6,2))), 0)</f>
      </c>
      <c r="Z16" s="71" cm="1">
        <f t="array" ref="Z16">IFERROR(_xlfn.FORECAST.LINEAR(RIGHT(Z$6,2), $J16:$U16, VALUE(RIGHT($J$6:$U$6,2))), 0)</f>
      </c>
      <c r="AA16" s="71" cm="1">
        <f t="array" ref="AA16">IFERROR(_xlfn.FORECAST.LINEAR(RIGHT(AA$6,2), $J16:$U16, VALUE(RIGHT($J$6:$U$6,2))), 0)</f>
      </c>
      <c r="AB16" s="71" cm="1">
        <f t="array" ref="AB16">IFERROR(_xlfn.FORECAST.LINEAR(RIGHT(AB$6,2), $J16:$U16, VALUE(RIGHT($J$6:$U$6,2))), 0)</f>
      </c>
      <c r="AC16" s="71" cm="1">
        <f t="array" ref="AC16">IFERROR(_xlfn.FORECAST.LINEAR(RIGHT(AC$6,2), $J16:$U16, VALUE(RIGHT($J$6:$U$6,2))), 0)</f>
      </c>
      <c r="AD16" s="71" cm="1">
        <f t="array" ref="AD16">IFERROR(_xlfn.FORECAST.LINEAR(RIGHT(AD$6,2), $J16:$U16, VALUE(RIGHT($J$6:$U$6,2))), 0)</f>
      </c>
      <c r="AE16" s="71" cm="1">
        <f t="array" ref="AE16">IFERROR(_xlfn.FORECAST.LINEAR(RIGHT(AE$6,2), $J16:$U16, VALUE(RIGHT($J$6:$U$6,2))), 0)</f>
      </c>
      <c r="AF16" s="71" cm="1">
        <f t="array" ref="AF16">IFERROR(_xlfn.FORECAST.LINEAR(RIGHT(AF$6,2), $J16:$U16, VALUE(RIGHT($J$6:$U$6,2))), 0)</f>
      </c>
      <c r="AG16" s="71" cm="1">
        <f t="array" ref="AG16">IFERROR(_xlfn.FORECAST.LINEAR(RIGHT(AG$6,2), $J16:$U16, VALUE(RIGHT($J$6:$U$6,2))), 0)</f>
      </c>
      <c r="AH16" s="71" cm="1">
        <f t="array" ref="AH16">IFERROR(_xlfn.FORECAST.LINEAR(RIGHT(AH$6,2), $J16:$U16, VALUE(RIGHT($J$6:$U$6,2))), 0)</f>
      </c>
    </row>
    <row r="17" spans="3:34" x14ac:dyDescent="0.3">
      <c r="D17" s="84" t="s">
        <v>193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Y17" s="71" cm="1">
        <f t="array" ref="Y17">IFERROR(_xlfn.FORECAST.LINEAR(RIGHT(Y$6,2), $J17:$U17, VALUE(RIGHT($J$6:$U$6,2))), 0)</f>
      </c>
      <c r="Z17" s="71" cm="1">
        <f t="array" ref="Z17">IFERROR(_xlfn.FORECAST.LINEAR(RIGHT(Z$6,2), $J17:$U17, VALUE(RIGHT($J$6:$U$6,2))), 0)</f>
      </c>
      <c r="AA17" s="71" cm="1">
        <f t="array" ref="AA17">IFERROR(_xlfn.FORECAST.LINEAR(RIGHT(AA$6,2), $J17:$U17, VALUE(RIGHT($J$6:$U$6,2))), 0)</f>
      </c>
      <c r="AB17" s="71" cm="1">
        <f t="array" ref="AB17">IFERROR(_xlfn.FORECAST.LINEAR(RIGHT(AB$6,2), $J17:$U17, VALUE(RIGHT($J$6:$U$6,2))), 0)</f>
      </c>
      <c r="AC17" s="71" cm="1">
        <f t="array" ref="AC17">IFERROR(_xlfn.FORECAST.LINEAR(RIGHT(AC$6,2), $J17:$U17, VALUE(RIGHT($J$6:$U$6,2))), 0)</f>
      </c>
      <c r="AD17" s="71" cm="1">
        <f t="array" ref="AD17">IFERROR(_xlfn.FORECAST.LINEAR(RIGHT(AD$6,2), $J17:$U17, VALUE(RIGHT($J$6:$U$6,2))), 0)</f>
      </c>
      <c r="AE17" s="71" cm="1">
        <f t="array" ref="AE17">IFERROR(_xlfn.FORECAST.LINEAR(RIGHT(AE$6,2), $J17:$U17, VALUE(RIGHT($J$6:$U$6,2))), 0)</f>
      </c>
      <c r="AF17" s="71" cm="1">
        <f t="array" ref="AF17">IFERROR(_xlfn.FORECAST.LINEAR(RIGHT(AF$6,2), $J17:$U17, VALUE(RIGHT($J$6:$U$6,2))), 0)</f>
      </c>
      <c r="AG17" s="71" cm="1">
        <f t="array" ref="AG17">IFERROR(_xlfn.FORECAST.LINEAR(RIGHT(AG$6,2), $J17:$U17, VALUE(RIGHT($J$6:$U$6,2))), 0)</f>
      </c>
      <c r="AH17" s="71" cm="1">
        <f t="array" ref="AH17">IFERROR(_xlfn.FORECAST.LINEAR(RIGHT(AH$6,2), $J17:$U17, VALUE(RIGHT($J$6:$U$6,2))), 0)</f>
      </c>
    </row>
    <row r="18" spans="3:34" x14ac:dyDescent="0.3">
      <c r="D18" s="84" t="s">
        <v>194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Y18" s="71" cm="1">
        <f t="array" ref="Y18">IFERROR(_xlfn.FORECAST.LINEAR(RIGHT(Y$6,2), $J18:$U18, VALUE(RIGHT($J$6:$U$6,2))), 0)</f>
      </c>
      <c r="Z18" s="71" cm="1">
        <f t="array" ref="Z18">IFERROR(_xlfn.FORECAST.LINEAR(RIGHT(Z$6,2), $J18:$U18, VALUE(RIGHT($J$6:$U$6,2))), 0)</f>
      </c>
      <c r="AA18" s="71" cm="1">
        <f t="array" ref="AA18">IFERROR(_xlfn.FORECAST.LINEAR(RIGHT(AA$6,2), $J18:$U18, VALUE(RIGHT($J$6:$U$6,2))), 0)</f>
      </c>
      <c r="AB18" s="71" cm="1">
        <f t="array" ref="AB18">IFERROR(_xlfn.FORECAST.LINEAR(RIGHT(AB$6,2), $J18:$U18, VALUE(RIGHT($J$6:$U$6,2))), 0)</f>
      </c>
      <c r="AC18" s="71" cm="1">
        <f t="array" ref="AC18">IFERROR(_xlfn.FORECAST.LINEAR(RIGHT(AC$6,2), $J18:$U18, VALUE(RIGHT($J$6:$U$6,2))), 0)</f>
      </c>
      <c r="AD18" s="71" cm="1">
        <f t="array" ref="AD18">IFERROR(_xlfn.FORECAST.LINEAR(RIGHT(AD$6,2), $J18:$U18, VALUE(RIGHT($J$6:$U$6,2))), 0)</f>
      </c>
      <c r="AE18" s="71" cm="1">
        <f t="array" ref="AE18">IFERROR(_xlfn.FORECAST.LINEAR(RIGHT(AE$6,2), $J18:$U18, VALUE(RIGHT($J$6:$U$6,2))), 0)</f>
      </c>
      <c r="AF18" s="71" cm="1">
        <f t="array" ref="AF18">IFERROR(_xlfn.FORECAST.LINEAR(RIGHT(AF$6,2), $J18:$U18, VALUE(RIGHT($J$6:$U$6,2))), 0)</f>
      </c>
      <c r="AG18" s="71" cm="1">
        <f t="array" ref="AG18">IFERROR(_xlfn.FORECAST.LINEAR(RIGHT(AG$6,2), $J18:$U18, VALUE(RIGHT($J$6:$U$6,2))), 0)</f>
      </c>
      <c r="AH18" s="71" cm="1">
        <f t="array" ref="AH18">IFERROR(_xlfn.FORECAST.LINEAR(RIGHT(AH$6,2), $J18:$U18, VALUE(RIGHT($J$6:$U$6,2))), 0)</f>
      </c>
    </row>
    <row r="19" spans="3:34" x14ac:dyDescent="0.3">
      <c r="D19" s="84" t="s">
        <v>195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Y19" s="71" cm="1">
        <f t="array" ref="Y19">IFERROR(_xlfn.FORECAST.LINEAR(RIGHT(Y$6,2), $J19:$U19, VALUE(RIGHT($J$6:$U$6,2))), 0)</f>
      </c>
      <c r="Z19" s="71" cm="1">
        <f t="array" ref="Z19">IFERROR(_xlfn.FORECAST.LINEAR(RIGHT(Z$6,2), $J19:$U19, VALUE(RIGHT($J$6:$U$6,2))), 0)</f>
      </c>
      <c r="AA19" s="71" cm="1">
        <f t="array" ref="AA19">IFERROR(_xlfn.FORECAST.LINEAR(RIGHT(AA$6,2), $J19:$U19, VALUE(RIGHT($J$6:$U$6,2))), 0)</f>
      </c>
      <c r="AB19" s="71" cm="1">
        <f t="array" ref="AB19">IFERROR(_xlfn.FORECAST.LINEAR(RIGHT(AB$6,2), $J19:$U19, VALUE(RIGHT($J$6:$U$6,2))), 0)</f>
      </c>
      <c r="AC19" s="71" cm="1">
        <f t="array" ref="AC19">IFERROR(_xlfn.FORECAST.LINEAR(RIGHT(AC$6,2), $J19:$U19, VALUE(RIGHT($J$6:$U$6,2))), 0)</f>
      </c>
      <c r="AD19" s="71" cm="1">
        <f t="array" ref="AD19">IFERROR(_xlfn.FORECAST.LINEAR(RIGHT(AD$6,2), $J19:$U19, VALUE(RIGHT($J$6:$U$6,2))), 0)</f>
      </c>
      <c r="AE19" s="71" cm="1">
        <f t="array" ref="AE19">IFERROR(_xlfn.FORECAST.LINEAR(RIGHT(AE$6,2), $J19:$U19, VALUE(RIGHT($J$6:$U$6,2))), 0)</f>
      </c>
      <c r="AF19" s="71" cm="1">
        <f t="array" ref="AF19">IFERROR(_xlfn.FORECAST.LINEAR(RIGHT(AF$6,2), $J19:$U19, VALUE(RIGHT($J$6:$U$6,2))), 0)</f>
      </c>
      <c r="AG19" s="71" cm="1">
        <f t="array" ref="AG19">IFERROR(_xlfn.FORECAST.LINEAR(RIGHT(AG$6,2), $J19:$U19, VALUE(RIGHT($J$6:$U$6,2))), 0)</f>
      </c>
      <c r="AH19" s="71" cm="1">
        <f t="array" ref="AH19">IFERROR(_xlfn.FORECAST.LINEAR(RIGHT(AH$6,2), $J19:$U19, VALUE(RIGHT($J$6:$U$6,2))), 0)</f>
      </c>
    </row>
    <row r="20" spans="3:34" x14ac:dyDescent="0.3">
      <c r="D20" s="84" t="s">
        <v>196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Y20" s="71" cm="1">
        <f t="array" ref="Y20">IFERROR(_xlfn.FORECAST.LINEAR(RIGHT(Y$6,2), $J20:$U20, VALUE(RIGHT($J$6:$U$6,2))), 0)</f>
      </c>
      <c r="Z20" s="71" cm="1">
        <f t="array" ref="Z20">IFERROR(_xlfn.FORECAST.LINEAR(RIGHT(Z$6,2), $J20:$U20, VALUE(RIGHT($J$6:$U$6,2))), 0)</f>
      </c>
      <c r="AA20" s="71" cm="1">
        <f t="array" ref="AA20">IFERROR(_xlfn.FORECAST.LINEAR(RIGHT(AA$6,2), $J20:$U20, VALUE(RIGHT($J$6:$U$6,2))), 0)</f>
      </c>
      <c r="AB20" s="71" cm="1">
        <f t="array" ref="AB20">IFERROR(_xlfn.FORECAST.LINEAR(RIGHT(AB$6,2), $J20:$U20, VALUE(RIGHT($J$6:$U$6,2))), 0)</f>
      </c>
      <c r="AC20" s="71" cm="1">
        <f t="array" ref="AC20">IFERROR(_xlfn.FORECAST.LINEAR(RIGHT(AC$6,2), $J20:$U20, VALUE(RIGHT($J$6:$U$6,2))), 0)</f>
      </c>
      <c r="AD20" s="71" cm="1">
        <f t="array" ref="AD20">IFERROR(_xlfn.FORECAST.LINEAR(RIGHT(AD$6,2), $J20:$U20, VALUE(RIGHT($J$6:$U$6,2))), 0)</f>
      </c>
      <c r="AE20" s="71" cm="1">
        <f t="array" ref="AE20">IFERROR(_xlfn.FORECAST.LINEAR(RIGHT(AE$6,2), $J20:$U20, VALUE(RIGHT($J$6:$U$6,2))), 0)</f>
      </c>
      <c r="AF20" s="71" cm="1">
        <f t="array" ref="AF20">IFERROR(_xlfn.FORECAST.LINEAR(RIGHT(AF$6,2), $J20:$U20, VALUE(RIGHT($J$6:$U$6,2))), 0)</f>
      </c>
      <c r="AG20" s="71" cm="1">
        <f t="array" ref="AG20">IFERROR(_xlfn.FORECAST.LINEAR(RIGHT(AG$6,2), $J20:$U20, VALUE(RIGHT($J$6:$U$6,2))), 0)</f>
      </c>
      <c r="AH20" s="71" cm="1">
        <f t="array" ref="AH20">IFERROR(_xlfn.FORECAST.LINEAR(RIGHT(AH$6,2), $J20:$U20, VALUE(RIGHT($J$6:$U$6,2))), 0)</f>
      </c>
    </row>
    <row r="21" spans="3:34" x14ac:dyDescent="0.3">
      <c r="D21" s="84" t="s">
        <v>197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Y21" s="71" cm="1">
        <f t="array" ref="Y21">IFERROR(_xlfn.FORECAST.LINEAR(RIGHT(Y$6,2), $J21:$U21, VALUE(RIGHT($J$6:$U$6,2))), 0)</f>
      </c>
      <c r="Z21" s="71" cm="1">
        <f t="array" ref="Z21">IFERROR(_xlfn.FORECAST.LINEAR(RIGHT(Z$6,2), $J21:$U21, VALUE(RIGHT($J$6:$U$6,2))), 0)</f>
      </c>
      <c r="AA21" s="71" cm="1">
        <f t="array" ref="AA21">IFERROR(_xlfn.FORECAST.LINEAR(RIGHT(AA$6,2), $J21:$U21, VALUE(RIGHT($J$6:$U$6,2))), 0)</f>
      </c>
      <c r="AB21" s="71" cm="1">
        <f t="array" ref="AB21">IFERROR(_xlfn.FORECAST.LINEAR(RIGHT(AB$6,2), $J21:$U21, VALUE(RIGHT($J$6:$U$6,2))), 0)</f>
      </c>
      <c r="AC21" s="71" cm="1">
        <f t="array" ref="AC21">IFERROR(_xlfn.FORECAST.LINEAR(RIGHT(AC$6,2), $J21:$U21, VALUE(RIGHT($J$6:$U$6,2))), 0)</f>
      </c>
      <c r="AD21" s="71" cm="1">
        <f t="array" ref="AD21">IFERROR(_xlfn.FORECAST.LINEAR(RIGHT(AD$6,2), $J21:$U21, VALUE(RIGHT($J$6:$U$6,2))), 0)</f>
      </c>
      <c r="AE21" s="71" cm="1">
        <f t="array" ref="AE21">IFERROR(_xlfn.FORECAST.LINEAR(RIGHT(AE$6,2), $J21:$U21, VALUE(RIGHT($J$6:$U$6,2))), 0)</f>
      </c>
      <c r="AF21" s="71" cm="1">
        <f t="array" ref="AF21">IFERROR(_xlfn.FORECAST.LINEAR(RIGHT(AF$6,2), $J21:$U21, VALUE(RIGHT($J$6:$U$6,2))), 0)</f>
      </c>
      <c r="AG21" s="71" cm="1">
        <f t="array" ref="AG21">IFERROR(_xlfn.FORECAST.LINEAR(RIGHT(AG$6,2), $J21:$U21, VALUE(RIGHT($J$6:$U$6,2))), 0)</f>
      </c>
      <c r="AH21" s="71" cm="1">
        <f t="array" ref="AH21">IFERROR(_xlfn.FORECAST.LINEAR(RIGHT(AH$6,2), $J21:$U21, VALUE(RIGHT($J$6:$U$6,2))), 0)</f>
      </c>
    </row>
    <row r="22" spans="3:34" x14ac:dyDescent="0.3">
      <c r="D22" s="84" t="s">
        <v>198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Y22" s="71" cm="1">
        <f t="array" ref="Y22">IFERROR(_xlfn.FORECAST.LINEAR(RIGHT(Y$6,2), $J22:$U22, VALUE(RIGHT($J$6:$U$6,2))), 0)</f>
      </c>
      <c r="Z22" s="71" cm="1">
        <f t="array" ref="Z22">IFERROR(_xlfn.FORECAST.LINEAR(RIGHT(Z$6,2), $J22:$U22, VALUE(RIGHT($J$6:$U$6,2))), 0)</f>
      </c>
      <c r="AA22" s="71" cm="1">
        <f t="array" ref="AA22">IFERROR(_xlfn.FORECAST.LINEAR(RIGHT(AA$6,2), $J22:$U22, VALUE(RIGHT($J$6:$U$6,2))), 0)</f>
      </c>
      <c r="AB22" s="71" cm="1">
        <f t="array" ref="AB22">IFERROR(_xlfn.FORECAST.LINEAR(RIGHT(AB$6,2), $J22:$U22, VALUE(RIGHT($J$6:$U$6,2))), 0)</f>
      </c>
      <c r="AC22" s="71" cm="1">
        <f t="array" ref="AC22">IFERROR(_xlfn.FORECAST.LINEAR(RIGHT(AC$6,2), $J22:$U22, VALUE(RIGHT($J$6:$U$6,2))), 0)</f>
      </c>
      <c r="AD22" s="71" cm="1">
        <f t="array" ref="AD22">IFERROR(_xlfn.FORECAST.LINEAR(RIGHT(AD$6,2), $J22:$U22, VALUE(RIGHT($J$6:$U$6,2))), 0)</f>
      </c>
      <c r="AE22" s="71" cm="1">
        <f t="array" ref="AE22">IFERROR(_xlfn.FORECAST.LINEAR(RIGHT(AE$6,2), $J22:$U22, VALUE(RIGHT($J$6:$U$6,2))), 0)</f>
      </c>
      <c r="AF22" s="71" cm="1">
        <f t="array" ref="AF22">IFERROR(_xlfn.FORECAST.LINEAR(RIGHT(AF$6,2), $J22:$U22, VALUE(RIGHT($J$6:$U$6,2))), 0)</f>
      </c>
      <c r="AG22" s="71" cm="1">
        <f t="array" ref="AG22">IFERROR(_xlfn.FORECAST.LINEAR(RIGHT(AG$6,2), $J22:$U22, VALUE(RIGHT($J$6:$U$6,2))), 0)</f>
      </c>
      <c r="AH22" s="71" cm="1">
        <f t="array" ref="AH22">IFERROR(_xlfn.FORECAST.LINEAR(RIGHT(AH$6,2), $J22:$U22, VALUE(RIGHT($J$6:$U$6,2))), 0)</f>
      </c>
    </row>
    <row r="23" spans="3:34" x14ac:dyDescent="0.3">
      <c r="D23" s="84" t="s">
        <v>199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Y23" s="71" cm="1">
        <f t="array" ref="Y23">IFERROR(_xlfn.FORECAST.LINEAR(RIGHT(Y$6,2), $J23:$U23, VALUE(RIGHT($J$6:$U$6,2))), 0)</f>
      </c>
      <c r="Z23" s="71" cm="1">
        <f t="array" ref="Z23">IFERROR(_xlfn.FORECAST.LINEAR(RIGHT(Z$6,2), $J23:$U23, VALUE(RIGHT($J$6:$U$6,2))), 0)</f>
      </c>
      <c r="AA23" s="71" cm="1">
        <f t="array" ref="AA23">IFERROR(_xlfn.FORECAST.LINEAR(RIGHT(AA$6,2), $J23:$U23, VALUE(RIGHT($J$6:$U$6,2))), 0)</f>
      </c>
      <c r="AB23" s="71" cm="1">
        <f t="array" ref="AB23">IFERROR(_xlfn.FORECAST.LINEAR(RIGHT(AB$6,2), $J23:$U23, VALUE(RIGHT($J$6:$U$6,2))), 0)</f>
      </c>
      <c r="AC23" s="71" cm="1">
        <f t="array" ref="AC23">IFERROR(_xlfn.FORECAST.LINEAR(RIGHT(AC$6,2), $J23:$U23, VALUE(RIGHT($J$6:$U$6,2))), 0)</f>
      </c>
      <c r="AD23" s="71" cm="1">
        <f t="array" ref="AD23">IFERROR(_xlfn.FORECAST.LINEAR(RIGHT(AD$6,2), $J23:$U23, VALUE(RIGHT($J$6:$U$6,2))), 0)</f>
      </c>
      <c r="AE23" s="71" cm="1">
        <f t="array" ref="AE23">IFERROR(_xlfn.FORECAST.LINEAR(RIGHT(AE$6,2), $J23:$U23, VALUE(RIGHT($J$6:$U$6,2))), 0)</f>
      </c>
      <c r="AF23" s="71" cm="1">
        <f t="array" ref="AF23">IFERROR(_xlfn.FORECAST.LINEAR(RIGHT(AF$6,2), $J23:$U23, VALUE(RIGHT($J$6:$U$6,2))), 0)</f>
      </c>
      <c r="AG23" s="71" cm="1">
        <f t="array" ref="AG23">IFERROR(_xlfn.FORECAST.LINEAR(RIGHT(AG$6,2), $J23:$U23, VALUE(RIGHT($J$6:$U$6,2))), 0)</f>
      </c>
      <c r="AH23" s="71" cm="1">
        <f t="array" ref="AH23">IFERROR(_xlfn.FORECAST.LINEAR(RIGHT(AH$6,2), $J23:$U23, VALUE(RIGHT($J$6:$U$6,2))), 0)</f>
      </c>
    </row>
    <row r="24" spans="3:34" x14ac:dyDescent="0.3">
      <c r="D24" s="2" t="s">
        <v>189</v>
      </c>
      <c r="J24" s="90">
        <f t="shared" ref="J24" si="30">SUM(J14:J23)</f>
      </c>
      <c r="K24" s="90">
        <f>SUM(K14:K23)</f>
      </c>
      <c r="L24" s="90">
        <f t="shared" ref="L24:U24" si="31">SUM(L14:L23)</f>
      </c>
      <c r="M24" s="90">
        <f t="shared" si="31"/>
      </c>
      <c r="N24" s="90">
        <f t="shared" si="31"/>
      </c>
      <c r="O24" s="90">
        <f t="shared" si="31"/>
      </c>
      <c r="P24" s="90">
        <f t="shared" si="31"/>
      </c>
      <c r="Q24" s="90">
        <f t="shared" si="31"/>
      </c>
      <c r="R24" s="90">
        <f t="shared" si="31"/>
      </c>
      <c r="S24" s="90">
        <f t="shared" si="31"/>
      </c>
      <c r="T24" s="90">
        <f t="shared" si="31"/>
      </c>
      <c r="U24" s="90">
        <f t="shared" si="31"/>
      </c>
      <c r="Y24" s="90">
        <f t="shared" ref="Y24" si="32">SUM(Y14:Y23)</f>
      </c>
      <c r="Z24" s="90">
        <f t="shared" ref="Z24" si="33">SUM(Z14:Z23)</f>
      </c>
      <c r="AA24" s="90">
        <f t="shared" ref="AA24" si="34">SUM(AA14:AA23)</f>
      </c>
      <c r="AB24" s="90">
        <f t="shared" ref="AB24" si="35">SUM(AB14:AB23)</f>
      </c>
      <c r="AC24" s="90">
        <f t="shared" ref="AC24" si="36">SUM(AC14:AC23)</f>
      </c>
      <c r="AD24" s="90">
        <f t="shared" ref="AD24" si="37">SUM(AD14:AD23)</f>
      </c>
      <c r="AE24" s="90">
        <f t="shared" ref="AE24" si="38">SUM(AE14:AE23)</f>
      </c>
      <c r="AF24" s="90">
        <f t="shared" ref="AF24" si="39">SUM(AF14:AF23)</f>
      </c>
      <c r="AG24" s="90">
        <f t="shared" ref="AG24" si="40">SUM(AG14:AG23)</f>
      </c>
      <c r="AH24" s="90">
        <f t="shared" ref="AH24" si="41">SUM(AH14:AH23)</f>
      </c>
    </row>
    <row r="25" spans="3:34" x14ac:dyDescent="0.3">
      <c r="J25" s="40"/>
    </row>
    <row r="26" spans="3:34" x14ac:dyDescent="0.3">
      <c r="C26" s="2" t="s">
        <v>200</v>
      </c>
      <c r="H26" s="225" t="s">
        <v>134</v>
      </c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spans="3:34" x14ac:dyDescent="0.3">
      <c r="D27" s="84" t="s">
        <v>201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Y27" s="71" cm="1">
        <f t="array" ref="Y27">IFERROR(_xlfn.FORECAST.LINEAR(RIGHT(Y$6,2), $J27:$U27, VALUE(RIGHT($J$6:$U$6,2))), 0)</f>
      </c>
      <c r="Z27" s="71" cm="1">
        <f t="array" ref="Z27">IFERROR(_xlfn.FORECAST.LINEAR(RIGHT(Z$6,2), $J27:$U27, VALUE(RIGHT($J$6:$U$6,2))), 0)</f>
      </c>
      <c r="AA27" s="71" cm="1">
        <f t="array" ref="AA27">IFERROR(_xlfn.FORECAST.LINEAR(RIGHT(AA$6,2), $J27:$U27, VALUE(RIGHT($J$6:$U$6,2))), 0)</f>
      </c>
      <c r="AB27" s="71" cm="1">
        <f t="array" ref="AB27">IFERROR(_xlfn.FORECAST.LINEAR(RIGHT(AB$6,2), $J27:$U27, VALUE(RIGHT($J$6:$U$6,2))), 0)</f>
      </c>
      <c r="AC27" s="71" cm="1">
        <f t="array" ref="AC27">IFERROR(_xlfn.FORECAST.LINEAR(RIGHT(AC$6,2), $J27:$U27, VALUE(RIGHT($J$6:$U$6,2))), 0)</f>
      </c>
      <c r="AD27" s="71" cm="1">
        <f t="array" ref="AD27">IFERROR(_xlfn.FORECAST.LINEAR(RIGHT(AD$6,2), $J27:$U27, VALUE(RIGHT($J$6:$U$6,2))), 0)</f>
      </c>
      <c r="AE27" s="71" cm="1">
        <f t="array" ref="AE27">IFERROR(_xlfn.FORECAST.LINEAR(RIGHT(AE$6,2), $J27:$U27, VALUE(RIGHT($J$6:$U$6,2))), 0)</f>
      </c>
      <c r="AF27" s="71" cm="1">
        <f t="array" ref="AF27">IFERROR(_xlfn.FORECAST.LINEAR(RIGHT(AF$6,2), $J27:$U27, VALUE(RIGHT($J$6:$U$6,2))), 0)</f>
      </c>
      <c r="AG27" s="71" cm="1">
        <f t="array" ref="AG27">IFERROR(_xlfn.FORECAST.LINEAR(RIGHT(AG$6,2), $J27:$U27, VALUE(RIGHT($J$6:$U$6,2))), 0)</f>
      </c>
      <c r="AH27" s="71" cm="1">
        <f t="array" ref="AH27">IFERROR(_xlfn.FORECAST.LINEAR(RIGHT(AH$6,2), $J27:$U27, VALUE(RIGHT($J$6:$U$6,2))), 0)</f>
      </c>
    </row>
    <row r="28" spans="3:34" x14ac:dyDescent="0.3">
      <c r="D28" s="84" t="s">
        <v>202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Y28" s="71" cm="1">
        <f t="array" ref="Y28">IFERROR(_xlfn.FORECAST.LINEAR(RIGHT(Y$6,2), $J28:$U28, VALUE(RIGHT($J$6:$U$6,2))), 0)</f>
      </c>
      <c r="Z28" s="71" cm="1">
        <f t="array" ref="Z28">IFERROR(_xlfn.FORECAST.LINEAR(RIGHT(Z$6,2), $J28:$U28, VALUE(RIGHT($J$6:$U$6,2))), 0)</f>
      </c>
      <c r="AA28" s="71" cm="1">
        <f t="array" ref="AA28">IFERROR(_xlfn.FORECAST.LINEAR(RIGHT(AA$6,2), $J28:$U28, VALUE(RIGHT($J$6:$U$6,2))), 0)</f>
      </c>
      <c r="AB28" s="71" cm="1">
        <f t="array" ref="AB28">IFERROR(_xlfn.FORECAST.LINEAR(RIGHT(AB$6,2), $J28:$U28, VALUE(RIGHT($J$6:$U$6,2))), 0)</f>
      </c>
      <c r="AC28" s="71" cm="1">
        <f t="array" ref="AC28">IFERROR(_xlfn.FORECAST.LINEAR(RIGHT(AC$6,2), $J28:$U28, VALUE(RIGHT($J$6:$U$6,2))), 0)</f>
      </c>
      <c r="AD28" s="71" cm="1">
        <f t="array" ref="AD28">IFERROR(_xlfn.FORECAST.LINEAR(RIGHT(AD$6,2), $J28:$U28, VALUE(RIGHT($J$6:$U$6,2))), 0)</f>
      </c>
      <c r="AE28" s="71" cm="1">
        <f t="array" ref="AE28">IFERROR(_xlfn.FORECAST.LINEAR(RIGHT(AE$6,2), $J28:$U28, VALUE(RIGHT($J$6:$U$6,2))), 0)</f>
      </c>
      <c r="AF28" s="71" cm="1">
        <f t="array" ref="AF28">IFERROR(_xlfn.FORECAST.LINEAR(RIGHT(AF$6,2), $J28:$U28, VALUE(RIGHT($J$6:$U$6,2))), 0)</f>
      </c>
      <c r="AG28" s="71" cm="1">
        <f t="array" ref="AG28">IFERROR(_xlfn.FORECAST.LINEAR(RIGHT(AG$6,2), $J28:$U28, VALUE(RIGHT($J$6:$U$6,2))), 0)</f>
      </c>
      <c r="AH28" s="71" cm="1">
        <f t="array" ref="AH28">IFERROR(_xlfn.FORECAST.LINEAR(RIGHT(AH$6,2), $J28:$U28, VALUE(RIGHT($J$6:$U$6,2))), 0)</f>
      </c>
    </row>
    <row r="29" spans="3:34" x14ac:dyDescent="0.3">
      <c r="D29" s="84" t="s">
        <v>203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Y29" s="71" cm="1">
        <f t="array" ref="Y29">IFERROR(_xlfn.FORECAST.LINEAR(RIGHT(Y$6,2), $J29:$U29, VALUE(RIGHT($J$6:$U$6,2))), 0)</f>
      </c>
      <c r="Z29" s="71" cm="1">
        <f t="array" ref="Z29">IFERROR(_xlfn.FORECAST.LINEAR(RIGHT(Z$6,2), $J29:$U29, VALUE(RIGHT($J$6:$U$6,2))), 0)</f>
      </c>
      <c r="AA29" s="71" cm="1">
        <f t="array" ref="AA29">IFERROR(_xlfn.FORECAST.LINEAR(RIGHT(AA$6,2), $J29:$U29, VALUE(RIGHT($J$6:$U$6,2))), 0)</f>
      </c>
      <c r="AB29" s="71" cm="1">
        <f t="array" ref="AB29">IFERROR(_xlfn.FORECAST.LINEAR(RIGHT(AB$6,2), $J29:$U29, VALUE(RIGHT($J$6:$U$6,2))), 0)</f>
      </c>
      <c r="AC29" s="71" cm="1">
        <f t="array" ref="AC29">IFERROR(_xlfn.FORECAST.LINEAR(RIGHT(AC$6,2), $J29:$U29, VALUE(RIGHT($J$6:$U$6,2))), 0)</f>
      </c>
      <c r="AD29" s="71" cm="1">
        <f t="array" ref="AD29">IFERROR(_xlfn.FORECAST.LINEAR(RIGHT(AD$6,2), $J29:$U29, VALUE(RIGHT($J$6:$U$6,2))), 0)</f>
      </c>
      <c r="AE29" s="71" cm="1">
        <f t="array" ref="AE29">IFERROR(_xlfn.FORECAST.LINEAR(RIGHT(AE$6,2), $J29:$U29, VALUE(RIGHT($J$6:$U$6,2))), 0)</f>
      </c>
      <c r="AF29" s="71" cm="1">
        <f t="array" ref="AF29">IFERROR(_xlfn.FORECAST.LINEAR(RIGHT(AF$6,2), $J29:$U29, VALUE(RIGHT($J$6:$U$6,2))), 0)</f>
      </c>
      <c r="AG29" s="71" cm="1">
        <f t="array" ref="AG29">IFERROR(_xlfn.FORECAST.LINEAR(RIGHT(AG$6,2), $J29:$U29, VALUE(RIGHT($J$6:$U$6,2))), 0)</f>
      </c>
      <c r="AH29" s="71" cm="1">
        <f t="array" ref="AH29">IFERROR(_xlfn.FORECAST.LINEAR(RIGHT(AH$6,2), $J29:$U29, VALUE(RIGHT($J$6:$U$6,2))), 0)</f>
      </c>
    </row>
    <row r="30" spans="3:34" x14ac:dyDescent="0.3">
      <c r="D30" s="84" t="s">
        <v>204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Y30" s="71" cm="1">
        <f t="array" ref="Y30">IFERROR(_xlfn.FORECAST.LINEAR(RIGHT(Y$6,2), $J30:$U30, VALUE(RIGHT($J$6:$U$6,2))), 0)</f>
      </c>
      <c r="Z30" s="71" cm="1">
        <f t="array" ref="Z30">IFERROR(_xlfn.FORECAST.LINEAR(RIGHT(Z$6,2), $J30:$U30, VALUE(RIGHT($J$6:$U$6,2))), 0)</f>
      </c>
      <c r="AA30" s="71" cm="1">
        <f t="array" ref="AA30">IFERROR(_xlfn.FORECAST.LINEAR(RIGHT(AA$6,2), $J30:$U30, VALUE(RIGHT($J$6:$U$6,2))), 0)</f>
      </c>
      <c r="AB30" s="71" cm="1">
        <f t="array" ref="AB30">IFERROR(_xlfn.FORECAST.LINEAR(RIGHT(AB$6,2), $J30:$U30, VALUE(RIGHT($J$6:$U$6,2))), 0)</f>
      </c>
      <c r="AC30" s="71" cm="1">
        <f t="array" ref="AC30">IFERROR(_xlfn.FORECAST.LINEAR(RIGHT(AC$6,2), $J30:$U30, VALUE(RIGHT($J$6:$U$6,2))), 0)</f>
      </c>
      <c r="AD30" s="71" cm="1">
        <f t="array" ref="AD30">IFERROR(_xlfn.FORECAST.LINEAR(RIGHT(AD$6,2), $J30:$U30, VALUE(RIGHT($J$6:$U$6,2))), 0)</f>
      </c>
      <c r="AE30" s="71" cm="1">
        <f t="array" ref="AE30">IFERROR(_xlfn.FORECAST.LINEAR(RIGHT(AE$6,2), $J30:$U30, VALUE(RIGHT($J$6:$U$6,2))), 0)</f>
      </c>
      <c r="AF30" s="71" cm="1">
        <f t="array" ref="AF30">IFERROR(_xlfn.FORECAST.LINEAR(RIGHT(AF$6,2), $J30:$U30, VALUE(RIGHT($J$6:$U$6,2))), 0)</f>
      </c>
      <c r="AG30" s="71" cm="1">
        <f t="array" ref="AG30">IFERROR(_xlfn.FORECAST.LINEAR(RIGHT(AG$6,2), $J30:$U30, VALUE(RIGHT($J$6:$U$6,2))), 0)</f>
      </c>
      <c r="AH30" s="71" cm="1">
        <f t="array" ref="AH30">IFERROR(_xlfn.FORECAST.LINEAR(RIGHT(AH$6,2), $J30:$U30, VALUE(RIGHT($J$6:$U$6,2))), 0)</f>
      </c>
    </row>
    <row r="31" spans="3:34" x14ac:dyDescent="0.3">
      <c r="D31" s="84" t="s">
        <v>205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Y31" s="71" cm="1">
        <f t="array" ref="Y31">IFERROR(_xlfn.FORECAST.LINEAR(RIGHT(Y$6,2), $J31:$U31, VALUE(RIGHT($J$6:$U$6,2))), 0)</f>
      </c>
      <c r="Z31" s="71" cm="1">
        <f t="array" ref="Z31">IFERROR(_xlfn.FORECAST.LINEAR(RIGHT(Z$6,2), $J31:$U31, VALUE(RIGHT($J$6:$U$6,2))), 0)</f>
      </c>
      <c r="AA31" s="71" cm="1">
        <f t="array" ref="AA31">IFERROR(_xlfn.FORECAST.LINEAR(RIGHT(AA$6,2), $J31:$U31, VALUE(RIGHT($J$6:$U$6,2))), 0)</f>
      </c>
      <c r="AB31" s="71" cm="1">
        <f t="array" ref="AB31">IFERROR(_xlfn.FORECAST.LINEAR(RIGHT(AB$6,2), $J31:$U31, VALUE(RIGHT($J$6:$U$6,2))), 0)</f>
      </c>
      <c r="AC31" s="71" cm="1">
        <f t="array" ref="AC31">IFERROR(_xlfn.FORECAST.LINEAR(RIGHT(AC$6,2), $J31:$U31, VALUE(RIGHT($J$6:$U$6,2))), 0)</f>
      </c>
      <c r="AD31" s="71" cm="1">
        <f t="array" ref="AD31">IFERROR(_xlfn.FORECAST.LINEAR(RIGHT(AD$6,2), $J31:$U31, VALUE(RIGHT($J$6:$U$6,2))), 0)</f>
      </c>
      <c r="AE31" s="71" cm="1">
        <f t="array" ref="AE31">IFERROR(_xlfn.FORECAST.LINEAR(RIGHT(AE$6,2), $J31:$U31, VALUE(RIGHT($J$6:$U$6,2))), 0)</f>
      </c>
      <c r="AF31" s="71" cm="1">
        <f t="array" ref="AF31">IFERROR(_xlfn.FORECAST.LINEAR(RIGHT(AF$6,2), $J31:$U31, VALUE(RIGHT($J$6:$U$6,2))), 0)</f>
      </c>
      <c r="AG31" s="71" cm="1">
        <f t="array" ref="AG31">IFERROR(_xlfn.FORECAST.LINEAR(RIGHT(AG$6,2), $J31:$U31, VALUE(RIGHT($J$6:$U$6,2))), 0)</f>
      </c>
      <c r="AH31" s="71" cm="1">
        <f t="array" ref="AH31">IFERROR(_xlfn.FORECAST.LINEAR(RIGHT(AH$6,2), $J31:$U31, VALUE(RIGHT($J$6:$U$6,2))), 0)</f>
      </c>
    </row>
    <row r="32" spans="3:34" x14ac:dyDescent="0.3">
      <c r="D32" s="84" t="s">
        <v>206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Y32" s="71" cm="1">
        <f t="array" ref="Y32">IFERROR(_xlfn.FORECAST.LINEAR(RIGHT(Y$6,2), $J32:$U32, VALUE(RIGHT($J$6:$U$6,2))), 0)</f>
      </c>
      <c r="Z32" s="71" cm="1">
        <f t="array" ref="Z32">IFERROR(_xlfn.FORECAST.LINEAR(RIGHT(Z$6,2), $J32:$U32, VALUE(RIGHT($J$6:$U$6,2))), 0)</f>
      </c>
      <c r="AA32" s="71" cm="1">
        <f t="array" ref="AA32">IFERROR(_xlfn.FORECAST.LINEAR(RIGHT(AA$6,2), $J32:$U32, VALUE(RIGHT($J$6:$U$6,2))), 0)</f>
      </c>
      <c r="AB32" s="71" cm="1">
        <f t="array" ref="AB32">IFERROR(_xlfn.FORECAST.LINEAR(RIGHT(AB$6,2), $J32:$U32, VALUE(RIGHT($J$6:$U$6,2))), 0)</f>
      </c>
      <c r="AC32" s="71" cm="1">
        <f t="array" ref="AC32">IFERROR(_xlfn.FORECAST.LINEAR(RIGHT(AC$6,2), $J32:$U32, VALUE(RIGHT($J$6:$U$6,2))), 0)</f>
      </c>
      <c r="AD32" s="71" cm="1">
        <f t="array" ref="AD32">IFERROR(_xlfn.FORECAST.LINEAR(RIGHT(AD$6,2), $J32:$U32, VALUE(RIGHT($J$6:$U$6,2))), 0)</f>
      </c>
      <c r="AE32" s="71" cm="1">
        <f t="array" ref="AE32">IFERROR(_xlfn.FORECAST.LINEAR(RIGHT(AE$6,2), $J32:$U32, VALUE(RIGHT($J$6:$U$6,2))), 0)</f>
      </c>
      <c r="AF32" s="71" cm="1">
        <f t="array" ref="AF32">IFERROR(_xlfn.FORECAST.LINEAR(RIGHT(AF$6,2), $J32:$U32, VALUE(RIGHT($J$6:$U$6,2))), 0)</f>
      </c>
      <c r="AG32" s="71" cm="1">
        <f t="array" ref="AG32">IFERROR(_xlfn.FORECAST.LINEAR(RIGHT(AG$6,2), $J32:$U32, VALUE(RIGHT($J$6:$U$6,2))), 0)</f>
      </c>
      <c r="AH32" s="71" cm="1">
        <f t="array" ref="AH32">IFERROR(_xlfn.FORECAST.LINEAR(RIGHT(AH$6,2), $J32:$U32, VALUE(RIGHT($J$6:$U$6,2))), 0)</f>
      </c>
    </row>
    <row r="33" spans="2:34" x14ac:dyDescent="0.3">
      <c r="D33" s="84" t="s">
        <v>207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Y33" s="71" cm="1">
        <f t="array" ref="Y33">IFERROR(_xlfn.FORECAST.LINEAR(RIGHT(Y$6,2), $J33:$U33, VALUE(RIGHT($J$6:$U$6,2))), 0)</f>
      </c>
      <c r="Z33" s="71" cm="1">
        <f t="array" ref="Z33">IFERROR(_xlfn.FORECAST.LINEAR(RIGHT(Z$6,2), $J33:$U33, VALUE(RIGHT($J$6:$U$6,2))), 0)</f>
      </c>
      <c r="AA33" s="71" cm="1">
        <f t="array" ref="AA33">IFERROR(_xlfn.FORECAST.LINEAR(RIGHT(AA$6,2), $J33:$U33, VALUE(RIGHT($J$6:$U$6,2))), 0)</f>
      </c>
      <c r="AB33" s="71" cm="1">
        <f t="array" ref="AB33">IFERROR(_xlfn.FORECAST.LINEAR(RIGHT(AB$6,2), $J33:$U33, VALUE(RIGHT($J$6:$U$6,2))), 0)</f>
      </c>
      <c r="AC33" s="71" cm="1">
        <f t="array" ref="AC33">IFERROR(_xlfn.FORECAST.LINEAR(RIGHT(AC$6,2), $J33:$U33, VALUE(RIGHT($J$6:$U$6,2))), 0)</f>
      </c>
      <c r="AD33" s="71" cm="1">
        <f t="array" ref="AD33">IFERROR(_xlfn.FORECAST.LINEAR(RIGHT(AD$6,2), $J33:$U33, VALUE(RIGHT($J$6:$U$6,2))), 0)</f>
      </c>
      <c r="AE33" s="71" cm="1">
        <f t="array" ref="AE33">IFERROR(_xlfn.FORECAST.LINEAR(RIGHT(AE$6,2), $J33:$U33, VALUE(RIGHT($J$6:$U$6,2))), 0)</f>
      </c>
      <c r="AF33" s="71" cm="1">
        <f t="array" ref="AF33">IFERROR(_xlfn.FORECAST.LINEAR(RIGHT(AF$6,2), $J33:$U33, VALUE(RIGHT($J$6:$U$6,2))), 0)</f>
      </c>
      <c r="AG33" s="71" cm="1">
        <f t="array" ref="AG33">IFERROR(_xlfn.FORECAST.LINEAR(RIGHT(AG$6,2), $J33:$U33, VALUE(RIGHT($J$6:$U$6,2))), 0)</f>
      </c>
      <c r="AH33" s="71" cm="1">
        <f t="array" ref="AH33">IFERROR(_xlfn.FORECAST.LINEAR(RIGHT(AH$6,2), $J33:$U33, VALUE(RIGHT($J$6:$U$6,2))), 0)</f>
      </c>
    </row>
    <row r="34" spans="2:34" x14ac:dyDescent="0.3">
      <c r="D34" s="84" t="s">
        <v>208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Y34" s="71" cm="1">
        <f t="array" ref="Y34">IFERROR(_xlfn.FORECAST.LINEAR(RIGHT(Y$6,2), $J34:$U34, VALUE(RIGHT($J$6:$U$6,2))), 0)</f>
      </c>
      <c r="Z34" s="71" cm="1">
        <f t="array" ref="Z34">IFERROR(_xlfn.FORECAST.LINEAR(RIGHT(Z$6,2), $J34:$U34, VALUE(RIGHT($J$6:$U$6,2))), 0)</f>
      </c>
      <c r="AA34" s="71" cm="1">
        <f t="array" ref="AA34">IFERROR(_xlfn.FORECAST.LINEAR(RIGHT(AA$6,2), $J34:$U34, VALUE(RIGHT($J$6:$U$6,2))), 0)</f>
      </c>
      <c r="AB34" s="71" cm="1">
        <f t="array" ref="AB34">IFERROR(_xlfn.FORECAST.LINEAR(RIGHT(AB$6,2), $J34:$U34, VALUE(RIGHT($J$6:$U$6,2))), 0)</f>
      </c>
      <c r="AC34" s="71" cm="1">
        <f t="array" ref="AC34">IFERROR(_xlfn.FORECAST.LINEAR(RIGHT(AC$6,2), $J34:$U34, VALUE(RIGHT($J$6:$U$6,2))), 0)</f>
      </c>
      <c r="AD34" s="71" cm="1">
        <f t="array" ref="AD34">IFERROR(_xlfn.FORECAST.LINEAR(RIGHT(AD$6,2), $J34:$U34, VALUE(RIGHT($J$6:$U$6,2))), 0)</f>
      </c>
      <c r="AE34" s="71" cm="1">
        <f t="array" ref="AE34">IFERROR(_xlfn.FORECAST.LINEAR(RIGHT(AE$6,2), $J34:$U34, VALUE(RIGHT($J$6:$U$6,2))), 0)</f>
      </c>
      <c r="AF34" s="71" cm="1">
        <f t="array" ref="AF34">IFERROR(_xlfn.FORECAST.LINEAR(RIGHT(AF$6,2), $J34:$U34, VALUE(RIGHT($J$6:$U$6,2))), 0)</f>
      </c>
      <c r="AG34" s="71" cm="1">
        <f t="array" ref="AG34">IFERROR(_xlfn.FORECAST.LINEAR(RIGHT(AG$6,2), $J34:$U34, VALUE(RIGHT($J$6:$U$6,2))), 0)</f>
      </c>
      <c r="AH34" s="71" cm="1">
        <f t="array" ref="AH34">IFERROR(_xlfn.FORECAST.LINEAR(RIGHT(AH$6,2), $J34:$U34, VALUE(RIGHT($J$6:$U$6,2))), 0)</f>
      </c>
    </row>
    <row r="35" spans="2:34" x14ac:dyDescent="0.3">
      <c r="D35" s="2" t="s">
        <v>200</v>
      </c>
      <c r="J35" s="90">
        <f>SUM(J27:J34)</f>
      </c>
      <c r="K35" s="90">
        <f t="shared" ref="K35:U35" si="42">SUM(K27:K34)</f>
      </c>
      <c r="L35" s="90">
        <f t="shared" si="42"/>
      </c>
      <c r="M35" s="90">
        <f t="shared" si="42"/>
      </c>
      <c r="N35" s="90">
        <f t="shared" si="42"/>
      </c>
      <c r="O35" s="90">
        <f t="shared" si="42"/>
      </c>
      <c r="P35" s="90">
        <f t="shared" si="42"/>
      </c>
      <c r="Q35" s="90">
        <f t="shared" si="42"/>
      </c>
      <c r="R35" s="90">
        <f t="shared" si="42"/>
      </c>
      <c r="S35" s="90">
        <f t="shared" si="42"/>
      </c>
      <c r="T35" s="90">
        <f t="shared" si="42"/>
      </c>
      <c r="U35" s="90">
        <f t="shared" si="42"/>
      </c>
      <c r="Y35" s="90">
        <f t="shared" ref="Y35" si="43">SUM(Y27:Y34)</f>
      </c>
      <c r="Z35" s="90">
        <f t="shared" ref="Z35" si="44">SUM(Z27:Z34)</f>
      </c>
      <c r="AA35" s="90">
        <f t="shared" ref="AA35" si="45">SUM(AA27:AA34)</f>
      </c>
      <c r="AB35" s="90">
        <f t="shared" ref="AB35" si="46">SUM(AB27:AB34)</f>
      </c>
      <c r="AC35" s="90">
        <f t="shared" ref="AC35" si="47">SUM(AC27:AC34)</f>
      </c>
      <c r="AD35" s="90">
        <f t="shared" ref="AD35" si="48">SUM(AD27:AD34)</f>
      </c>
      <c r="AE35" s="90">
        <f t="shared" ref="AE35" si="49">SUM(AE27:AE34)</f>
      </c>
      <c r="AF35" s="90">
        <f t="shared" ref="AF35" si="50">SUM(AF27:AF34)</f>
      </c>
      <c r="AG35" s="90">
        <f t="shared" ref="AG35" si="51">SUM(AG27:AG34)</f>
      </c>
      <c r="AH35" s="90">
        <f t="shared" ref="AH35" si="52">SUM(AH27:AH34)</f>
      </c>
    </row>
    <row r="36" spans="2:34" ht="15" thickBot="1" x14ac:dyDescent="0.35"/>
    <row r="37" spans="2:34" ht="15" thickBot="1" x14ac:dyDescent="0.35">
      <c r="C37" s="2" t="str">
        <f>"Total Volume "&amp; 'Assumptions&amp;Scenario'!K42</f>
      </c>
      <c r="H37" s="248">
        <f>'Assumptions&amp;Scenario'!K43</f>
      </c>
      <c r="J37" s="56"/>
      <c r="K37" s="56"/>
      <c r="L37" s="56">
        <f t="shared" ref="L37:T37" si="53">L10</f>
      </c>
      <c r="M37" s="56">
        <f t="shared" si="53"/>
      </c>
      <c r="N37" s="56">
        <f t="shared" si="53"/>
      </c>
      <c r="O37" s="56">
        <f t="shared" si="53"/>
      </c>
      <c r="P37" s="56">
        <f t="shared" si="53"/>
      </c>
      <c r="Q37" s="56">
        <f t="shared" si="53"/>
      </c>
      <c r="R37" s="56">
        <f t="shared" si="53"/>
      </c>
      <c r="S37" s="56">
        <f t="shared" si="53"/>
      </c>
      <c r="T37" s="56">
        <f t="shared" si="53"/>
      </c>
      <c r="U37" s="56">
        <f>U10</f>
      </c>
      <c r="Y37" s="71" cm="1">
        <f t="array" ref="Y37">IFERROR(_xlfn.FORECAST.LINEAR(RIGHT(Y$6,2), $J37:$U37, VALUE(RIGHT($J$6:$U$6,2))), 0)</f>
      </c>
      <c r="Z37" s="71" cm="1">
        <f t="array" ref="Z37">IFERROR(_xlfn.FORECAST.LINEAR(RIGHT(Z$6,2), $J37:$U37, VALUE(RIGHT($J$6:$U$6,2))), 0)</f>
      </c>
      <c r="AA37" s="71" cm="1">
        <f t="array" ref="AA37">IFERROR(_xlfn.FORECAST.LINEAR(RIGHT(AA$6,2), $J37:$U37, VALUE(RIGHT($J$6:$U$6,2))), 0)</f>
      </c>
      <c r="AB37" s="71" cm="1">
        <f t="array" ref="AB37">IFERROR(_xlfn.FORECAST.LINEAR(RIGHT(AB$6,2), $J37:$U37, VALUE(RIGHT($J$6:$U$6,2))), 0)</f>
      </c>
      <c r="AC37" s="71" cm="1">
        <f t="array" ref="AC37">IFERROR(_xlfn.FORECAST.LINEAR(RIGHT(AC$6,2), $J37:$U37, VALUE(RIGHT($J$6:$U$6,2))), 0)</f>
      </c>
      <c r="AD37" s="71" cm="1">
        <f t="array" ref="AD37">IFERROR(_xlfn.FORECAST.LINEAR(RIGHT(AD$6,2), $J37:$U37, VALUE(RIGHT($J$6:$U$6,2))), 0)</f>
      </c>
      <c r="AE37" s="71" cm="1">
        <f t="array" ref="AE37">IFERROR(_xlfn.FORECAST.LINEAR(RIGHT(AE$6,2), $J37:$U37, VALUE(RIGHT($J$6:$U$6,2))), 0)</f>
      </c>
      <c r="AF37" s="71" cm="1">
        <f t="array" ref="AF37">IFERROR(_xlfn.FORECAST.LINEAR(RIGHT(AF$6,2), $J37:$U37, VALUE(RIGHT($J$6:$U$6,2))), 0)</f>
      </c>
      <c r="AG37" s="71" cm="1">
        <f t="array" ref="AG37">IFERROR(_xlfn.FORECAST.LINEAR(RIGHT(AG$6,2), $J37:$U37, VALUE(RIGHT($J$6:$U$6,2))), 0)</f>
      </c>
      <c r="AH37" s="71" cm="1">
        <f t="array" ref="AH37">IFERROR(_xlfn.FORECAST.LINEAR(RIGHT(AH$6,2), $J37:$U37, VALUE(RIGHT($J$6:$U$6,2))), 0)</f>
      </c>
    </row>
    <row r="38" spans="2:34" x14ac:dyDescent="0.3">
      <c r="D38" s="78" t="s">
        <v>140</v>
      </c>
      <c r="K38" s="85">
        <f t="shared" ref="K38" si="54">IFERROR(K37/J37-1, 0)</f>
      </c>
      <c r="L38" s="85">
        <f t="shared" ref="L38" si="55">IFERROR(L37/K37-1, 0)</f>
      </c>
      <c r="M38" s="85">
        <f t="shared" ref="M38" si="56">IFERROR(M37/L37-1, 0)</f>
      </c>
      <c r="N38" s="85">
        <f t="shared" ref="N38" si="57">IFERROR(N37/M37-1, 0)</f>
      </c>
      <c r="O38" s="85">
        <f t="shared" ref="O38" si="58">IFERROR(O37/N37-1, 0)</f>
      </c>
      <c r="P38" s="85">
        <f t="shared" ref="P38" si="59">IFERROR(P37/O37-1, 0)</f>
      </c>
      <c r="Q38" s="85">
        <f t="shared" ref="Q38" si="60">IFERROR(Q37/P37-1, 0)</f>
      </c>
      <c r="R38" s="85">
        <f t="shared" ref="R38" si="61">IFERROR(R37/Q37-1, 0)</f>
      </c>
      <c r="S38" s="85">
        <f t="shared" ref="S38" si="62">IFERROR(S37/R37-1, 0)</f>
      </c>
      <c r="T38" s="85">
        <f t="shared" ref="T38" si="63">IFERROR(T37/S37-1, 0)</f>
      </c>
      <c r="U38" s="85">
        <f t="shared" ref="U38" si="64">IFERROR(U37/T37-1, 0)</f>
      </c>
      <c r="Y38" s="85">
        <f>IFERROR(Y37/U37-1, 0)</f>
      </c>
      <c r="Z38" s="85">
        <f t="shared" ref="Z38" si="65">IFERROR(Z37/Y37-1, 0)</f>
      </c>
      <c r="AA38" s="85">
        <f t="shared" ref="AA38" si="66">IFERROR(AA37/Z37-1, 0)</f>
      </c>
      <c r="AB38" s="85">
        <f t="shared" ref="AB38" si="67">IFERROR(AB37/AA37-1, 0)</f>
      </c>
      <c r="AC38" s="85">
        <f t="shared" ref="AC38" si="68">IFERROR(AC37/AB37-1, 0)</f>
      </c>
      <c r="AD38" s="85">
        <f t="shared" ref="AD38" si="69">IFERROR(AD37/AC37-1, 0)</f>
      </c>
      <c r="AE38" s="85">
        <f t="shared" ref="AE38" si="70">IFERROR(AE37/AD37-1, 0)</f>
      </c>
      <c r="AF38" s="85">
        <f t="shared" ref="AF38" si="71">IFERROR(AF37/AE37-1, 0)</f>
      </c>
      <c r="AG38" s="85">
        <f t="shared" ref="AG38" si="72">IFERROR(AG37/AF37-1, 0)</f>
      </c>
      <c r="AH38" s="85">
        <f t="shared" ref="AH38" si="73">IFERROR(AH37/AG37-1, 0)</f>
      </c>
    </row>
    <row r="40" spans="2:34" x14ac:dyDescent="0.3">
      <c r="C40" s="2" t="s">
        <v>209</v>
      </c>
      <c r="H40" s="87" t="str">
        <f>'Assumptions&amp;Scenario'!$K$44</f>
      </c>
      <c r="J40" s="71">
        <f>IFERROR(J10*$H$37/J37, 0)</f>
      </c>
      <c r="K40" s="71">
        <f t="shared" ref="K40:U40" si="74">IFERROR(K10*$H$37/K37, 0)</f>
      </c>
      <c r="L40" s="71">
        <f t="shared" si="74"/>
      </c>
      <c r="M40" s="71">
        <f t="shared" si="74"/>
      </c>
      <c r="N40" s="71">
        <f t="shared" si="74"/>
      </c>
      <c r="O40" s="71">
        <f t="shared" si="74"/>
      </c>
      <c r="P40" s="71">
        <f t="shared" si="74"/>
      </c>
      <c r="Q40" s="71">
        <f t="shared" si="74"/>
      </c>
      <c r="R40" s="71">
        <f t="shared" si="74"/>
      </c>
      <c r="S40" s="71">
        <f t="shared" si="74"/>
      </c>
      <c r="T40" s="71">
        <f t="shared" si="74"/>
      </c>
      <c r="U40" s="71">
        <f t="shared" si="74"/>
      </c>
      <c r="Y40" s="71">
        <f t="shared" ref="Y40:AH40" si="75">IFERROR(Y10*$H$37/Y37, 0)</f>
      </c>
      <c r="Z40" s="71">
        <f t="shared" si="75"/>
      </c>
      <c r="AA40" s="71">
        <f t="shared" si="75"/>
      </c>
      <c r="AB40" s="71">
        <f t="shared" si="75"/>
      </c>
      <c r="AC40" s="71">
        <f t="shared" si="75"/>
      </c>
      <c r="AD40" s="71">
        <f t="shared" si="75"/>
      </c>
      <c r="AE40" s="71">
        <f t="shared" si="75"/>
      </c>
      <c r="AF40" s="71">
        <f t="shared" si="75"/>
      </c>
      <c r="AG40" s="71">
        <f t="shared" si="75"/>
      </c>
      <c r="AH40" s="71">
        <f t="shared" si="75"/>
      </c>
    </row>
    <row r="41" spans="2:34" x14ac:dyDescent="0.3">
      <c r="D41" s="78" t="s">
        <v>212</v>
      </c>
      <c r="K41" s="85">
        <f t="shared" ref="K41" si="76">IFERROR(K40/J40-1, 0)</f>
      </c>
      <c r="L41" s="85">
        <f t="shared" ref="L41" si="77">IFERROR(L40/K40-1, 0)</f>
      </c>
      <c r="M41" s="85">
        <f t="shared" ref="M41" si="78">IFERROR(M40/L40-1, 0)</f>
      </c>
      <c r="N41" s="85">
        <f t="shared" ref="N41" si="79">IFERROR(N40/M40-1, 0)</f>
      </c>
      <c r="O41" s="85">
        <f t="shared" ref="O41" si="80">IFERROR(O40/N40-1, 0)</f>
      </c>
      <c r="P41" s="85">
        <f t="shared" ref="P41" si="81">IFERROR(P40/O40-1, 0)</f>
      </c>
      <c r="Q41" s="85">
        <f t="shared" ref="Q41" si="82">IFERROR(Q40/P40-1, 0)</f>
      </c>
      <c r="R41" s="85">
        <f t="shared" ref="R41" si="83">IFERROR(R40/Q40-1, 0)</f>
      </c>
      <c r="S41" s="85">
        <f t="shared" ref="S41" si="84">IFERROR(S40/R40-1, 0)</f>
      </c>
      <c r="T41" s="85">
        <f t="shared" ref="T41" si="85">IFERROR(T40/S40-1, 0)</f>
      </c>
      <c r="U41" s="85">
        <f t="shared" ref="U41" si="86">IFERROR(U40/T40-1, 0)</f>
      </c>
      <c r="Y41" s="85">
        <f>IFERROR(Y40/U40-1, 0)</f>
      </c>
      <c r="Z41" s="85">
        <f t="shared" ref="Z41" si="87">IFERROR(Z40/Y40-1, 0)</f>
      </c>
      <c r="AA41" s="85">
        <f t="shared" ref="AA41" si="88">IFERROR(AA40/Z40-1, 0)</f>
      </c>
      <c r="AB41" s="85">
        <f t="shared" ref="AB41" si="89">IFERROR(AB40/AA40-1, 0)</f>
      </c>
      <c r="AC41" s="85">
        <f t="shared" ref="AC41" si="90">IFERROR(AC40/AB40-1, 0)</f>
      </c>
      <c r="AD41" s="85">
        <f t="shared" ref="AD41" si="91">IFERROR(AD40/AC40-1, 0)</f>
      </c>
      <c r="AE41" s="85">
        <f t="shared" ref="AE41" si="92">IFERROR(AE40/AD40-1, 0)</f>
      </c>
      <c r="AF41" s="85">
        <f t="shared" ref="AF41" si="93">IFERROR(AF40/AE40-1, 0)</f>
      </c>
      <c r="AG41" s="85">
        <f t="shared" ref="AG41" si="94">IFERROR(AG40/AF40-1, 0)</f>
      </c>
      <c r="AH41" s="85">
        <f t="shared" ref="AH41" si="95">IFERROR(AH40/AG40-1, 0)</f>
      </c>
    </row>
    <row r="45" spans="2:34" ht="18" x14ac:dyDescent="0.35">
      <c r="B45" s="148" t="str">
        <f>'Assumptions&amp;Scenario'!$K$10</f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2:34" ht="18" thickBot="1" x14ac:dyDescent="0.35">
      <c r="B46" s="47" t="s">
        <v>502</v>
      </c>
      <c r="C46" s="48"/>
      <c r="D46" s="48"/>
      <c r="E46" s="48"/>
      <c r="F46" s="48"/>
      <c r="G46" s="48"/>
      <c r="H46" s="49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Y46" s="47" t="s">
        <v>500</v>
      </c>
      <c r="Z46" s="48"/>
      <c r="AA46" s="48"/>
      <c r="AB46" s="48"/>
      <c r="AC46" s="48"/>
      <c r="AD46" s="48"/>
      <c r="AE46" s="48"/>
      <c r="AF46" s="48"/>
      <c r="AG46" s="48"/>
      <c r="AH46" s="48"/>
    </row>
    <row r="47" spans="2:34" x14ac:dyDescent="0.3">
      <c r="C47" s="2"/>
      <c r="D47" s="2"/>
      <c r="E47" s="2"/>
      <c r="F47" s="2"/>
      <c r="L47" s="83"/>
      <c r="M47" s="83"/>
      <c r="N47" s="83"/>
      <c r="O47" s="83"/>
      <c r="P47" s="83"/>
      <c r="Q47" s="83"/>
      <c r="R47" s="83"/>
      <c r="S47" s="83"/>
      <c r="T47" s="83"/>
      <c r="U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</row>
    <row r="48" spans="2:34" ht="15.6" x14ac:dyDescent="0.3">
      <c r="C48" s="43" t="s">
        <v>389</v>
      </c>
      <c r="D48" s="43"/>
      <c r="E48" s="43"/>
      <c r="F48" s="43"/>
      <c r="G48" s="43"/>
      <c r="H48" s="44"/>
      <c r="I48" s="44"/>
      <c r="J48" s="44" t="str">
        <f>"FY"&amp;TEXT(RIGHT(K48,2)-(COLUMN(K48)-COLUMN()),"00")</f>
      </c>
      <c r="K48" s="44" t="str">
        <f t="shared" ref="K48" si="96">"FY"&amp;TEXT(RIGHT(L48,2)-(COLUMN(L48)-COLUMN()),"00")</f>
      </c>
      <c r="L48" s="79" t="str">
        <f t="shared" ref="L48" si="97">"FY"&amp;TEXT(RIGHT(M48,2)-(COLUMN(M48)-COLUMN()),"00")</f>
      </c>
      <c r="M48" s="79" t="str">
        <f t="shared" ref="M48" si="98">"FY"&amp;TEXT(RIGHT(N48,2)-(COLUMN(N48)-COLUMN()),"00")</f>
      </c>
      <c r="N48" s="79" t="str">
        <f t="shared" ref="N48" si="99">"FY"&amp;TEXT(RIGHT(O48,2)-(COLUMN(O48)-COLUMN()),"00")</f>
      </c>
      <c r="O48" s="79" t="str">
        <f t="shared" ref="O48" si="100">"FY"&amp;TEXT(RIGHT(P48,2)-(COLUMN(P48)-COLUMN()),"00")</f>
      </c>
      <c r="P48" s="79" t="str">
        <f t="shared" ref="P48" si="101">"FY"&amp;TEXT(RIGHT(Q48,2)-(COLUMN(Q48)-COLUMN()),"00")</f>
      </c>
      <c r="Q48" s="79" t="str">
        <f t="shared" ref="Q48" si="102">"FY"&amp;TEXT(RIGHT(R48,2)-(COLUMN(R48)-COLUMN()),"00")</f>
      </c>
      <c r="R48" s="79" t="str">
        <f t="shared" ref="R48" si="103">"FY"&amp;TEXT(RIGHT(S48,2)-(COLUMN(S48)-COLUMN()),"00")</f>
      </c>
      <c r="S48" s="79" t="str">
        <f t="shared" ref="S48" si="104">"FY"&amp;TEXT(RIGHT(T48,2)-(COLUMN(T48)-COLUMN()),"00")</f>
      </c>
      <c r="T48" s="79" t="str">
        <f t="shared" ref="T48" si="105">"FY"&amp;TEXT(RIGHT(U48,2)-(COLUMN(U48)-COLUMN()),"00")</f>
      </c>
      <c r="U48" s="79" t="str">
        <f>"FY"&amp;TEXT(DATE(YEAR('Data Sheet'!$K$16)+(MONTH('Data Sheet'!$K$16)&gt;3),1,1),"YY")</f>
      </c>
      <c r="Y48" s="44" t="str">
        <f>Model!$L$6</f>
      </c>
      <c r="Z48" s="44" t="str">
        <f t="shared" ref="Z48" si="106">"FY"&amp;TEXT(RIGHT(Y48,2)+COLUMN()-COLUMN(Y48),"00")</f>
      </c>
      <c r="AA48" s="44" t="str">
        <f t="shared" ref="AA48" si="107">"FY"&amp;TEXT(RIGHT(Z48,2)+COLUMN()-COLUMN(Z48),"00")</f>
      </c>
      <c r="AB48" s="44" t="str">
        <f t="shared" ref="AB48" si="108">"FY"&amp;TEXT(RIGHT(AA48,2)+COLUMN()-COLUMN(AA48),"00")</f>
      </c>
      <c r="AC48" s="44" t="str">
        <f t="shared" ref="AC48" si="109">"FY"&amp;TEXT(RIGHT(AB48,2)+COLUMN()-COLUMN(AB48),"00")</f>
      </c>
      <c r="AD48" s="44" t="str">
        <f t="shared" ref="AD48" si="110">"FY"&amp;TEXT(RIGHT(AC48,2)+COLUMN()-COLUMN(AC48),"00")</f>
      </c>
      <c r="AE48" s="44" t="str">
        <f t="shared" ref="AE48" si="111">"FY"&amp;TEXT(RIGHT(AD48,2)+COLUMN()-COLUMN(AD48),"00")</f>
      </c>
      <c r="AF48" s="44" t="str">
        <f t="shared" ref="AF48" si="112">"FY"&amp;TEXT(RIGHT(AE48,2)+COLUMN()-COLUMN(AE48),"00")</f>
      </c>
      <c r="AG48" s="44" t="str">
        <f t="shared" ref="AG48" si="113">"FY"&amp;TEXT(RIGHT(AF48,2)+COLUMN()-COLUMN(AF48),"00")</f>
      </c>
      <c r="AH48" s="44" t="str">
        <f t="shared" ref="AH48" si="114">"FY"&amp;TEXT(RIGHT(AG48,2)+COLUMN()-COLUMN(AG48),"00")</f>
      </c>
    </row>
    <row r="49" spans="3:34" ht="3" customHeight="1" x14ac:dyDescent="0.3"/>
    <row r="50" spans="3:34" ht="3" customHeight="1" x14ac:dyDescent="0.3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3:34" ht="3" customHeight="1" x14ac:dyDescent="0.3"/>
    <row r="87" spans="2:34" ht="18" x14ac:dyDescent="0.35">
      <c r="B87" s="148" t="str">
        <f>'Assumptions&amp;Scenario'!$K$10</f>
      </c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</row>
    <row r="88" spans="2:34" ht="18" thickBot="1" x14ac:dyDescent="0.35">
      <c r="B88" s="47" t="s">
        <v>210</v>
      </c>
      <c r="C88" s="48"/>
      <c r="D88" s="48"/>
      <c r="E88" s="48"/>
      <c r="F88" s="48"/>
      <c r="G88" s="48"/>
      <c r="H88" s="49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Y88" s="47" t="s">
        <v>306</v>
      </c>
      <c r="Z88" s="48"/>
      <c r="AA88" s="48"/>
      <c r="AB88" s="48"/>
      <c r="AC88" s="48"/>
      <c r="AD88" s="48"/>
      <c r="AE88" s="48"/>
      <c r="AF88" s="48"/>
      <c r="AG88" s="48"/>
      <c r="AH88" s="48"/>
    </row>
    <row r="89" spans="2:34" x14ac:dyDescent="0.3">
      <c r="C89" s="2"/>
      <c r="D89" s="2"/>
      <c r="E89" s="2"/>
      <c r="F89" s="2"/>
      <c r="J89" s="40">
        <v>1</v>
      </c>
      <c r="K89" s="40">
        <v>2</v>
      </c>
      <c r="L89" s="89">
        <v>2</v>
      </c>
      <c r="M89" s="89">
        <v>4</v>
      </c>
      <c r="N89" s="89">
        <v>5</v>
      </c>
      <c r="O89" s="89">
        <v>6</v>
      </c>
      <c r="P89" s="89">
        <v>7</v>
      </c>
      <c r="Q89" s="89">
        <v>8</v>
      </c>
      <c r="R89" s="89">
        <v>9</v>
      </c>
      <c r="S89" s="89">
        <v>10</v>
      </c>
      <c r="T89" s="89">
        <v>11</v>
      </c>
      <c r="U89" s="89">
        <v>12</v>
      </c>
      <c r="V89" s="40"/>
      <c r="W89" s="40"/>
      <c r="X89" s="40"/>
      <c r="Y89" s="89">
        <v>13</v>
      </c>
      <c r="Z89" s="89">
        <v>14</v>
      </c>
      <c r="AA89" s="89">
        <v>15</v>
      </c>
      <c r="AB89" s="89">
        <v>16</v>
      </c>
      <c r="AC89" s="89">
        <v>17</v>
      </c>
      <c r="AD89" s="89">
        <v>18</v>
      </c>
      <c r="AE89" s="89">
        <v>19</v>
      </c>
      <c r="AF89" s="89">
        <v>20</v>
      </c>
      <c r="AG89" s="89">
        <v>21</v>
      </c>
      <c r="AH89" s="89">
        <v>22</v>
      </c>
    </row>
    <row r="90" spans="2:34" ht="15.6" x14ac:dyDescent="0.3">
      <c r="C90" s="43" t="s">
        <v>25</v>
      </c>
      <c r="D90" s="43"/>
      <c r="E90" s="43"/>
      <c r="F90" s="43"/>
      <c r="G90" s="43"/>
      <c r="H90" s="44"/>
      <c r="I90" s="44"/>
      <c r="J90" s="44" t="str">
        <f t="shared" ref="J90:S90" si="115">"FY"&amp;TEXT(MID(K90,3,2)-IF(RIGHT(K90,1)="1",1,0),"00")&amp;"Q"&amp;CHOOSE(RIGHT(K90,1)+0,4,1,2,3)</f>
      </c>
      <c r="K90" s="44" t="str">
        <f t="shared" si="115"/>
      </c>
      <c r="L90" s="79" t="str">
        <f t="shared" si="115"/>
      </c>
      <c r="M90" s="79" t="str">
        <f t="shared" si="115"/>
      </c>
      <c r="N90" s="79" t="str">
        <f t="shared" si="115"/>
      </c>
      <c r="O90" s="79" t="str">
        <f t="shared" si="115"/>
      </c>
      <c r="P90" s="79" t="str">
        <f t="shared" si="115"/>
      </c>
      <c r="Q90" s="79" t="str">
        <f t="shared" si="115"/>
      </c>
      <c r="R90" s="79" t="str">
        <f t="shared" si="115"/>
      </c>
      <c r="S90" s="79" t="str">
        <f t="shared" si="115"/>
      </c>
      <c r="T90" s="79" t="str">
        <f>"FY"&amp;TEXT(MID(U90,3,2)-IF(RIGHT(U90,1)="1",1,0),"00")&amp;"Q"&amp;CHOOSE(RIGHT(U90,1)+0,4,1,2,3)</f>
      </c>
      <c r="U90" s="79" t="str">
        <f>"FY"&amp;TEXT(YEAR('Data Sheet'!$K$41)+(MONTH('Data Sheet'!$K$41)&gt;3)-2000,"00")&amp;"Q"&amp;INT((MOD(MONTH('Data Sheet'!$K$41)-4,12))/3)+1</f>
      </c>
      <c r="Y90" s="44" t="str">
        <f>Model!$N$31</f>
      </c>
      <c r="Z90" s="44" t="str">
        <f t="shared" ref="Z90:AH90" si="116">"FY"&amp;TEXT(MID(Y90,3,2)+IF(RIGHT(Y90,1)="4",1,0),"00")&amp;"Q"&amp;MOD(RIGHT(Y90,1),4)+1</f>
      </c>
      <c r="AA90" s="44" t="str">
        <f t="shared" si="116"/>
      </c>
      <c r="AB90" s="44" t="str">
        <f t="shared" si="116"/>
      </c>
      <c r="AC90" s="44" t="str">
        <f t="shared" si="116"/>
      </c>
      <c r="AD90" s="44" t="str">
        <f t="shared" si="116"/>
      </c>
      <c r="AE90" s="44" t="str">
        <f t="shared" si="116"/>
      </c>
      <c r="AF90" s="44" t="str">
        <f t="shared" si="116"/>
      </c>
      <c r="AG90" s="44" t="str">
        <f t="shared" si="116"/>
      </c>
      <c r="AH90" s="44" t="str">
        <f t="shared" si="116"/>
      </c>
    </row>
    <row r="91" spans="2:34" ht="3" customHeight="1" x14ac:dyDescent="0.3"/>
    <row r="92" spans="2:34" ht="3" customHeight="1" x14ac:dyDescent="0.3"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2:34" ht="3" customHeight="1" x14ac:dyDescent="0.3"/>
    <row r="94" spans="2:34" x14ac:dyDescent="0.3">
      <c r="C94" s="2" t="s">
        <v>83</v>
      </c>
      <c r="H94" s="77" t="str">
        <f>$H$10</f>
      </c>
      <c r="J94" s="56"/>
      <c r="K94" s="56"/>
      <c r="L94" s="56">
        <f>IFERROR('Data Sheet'!B42, 0)</f>
      </c>
      <c r="M94" s="56">
        <f>IFERROR('Data Sheet'!C42, 0)</f>
      </c>
      <c r="N94" s="56">
        <f>IFERROR('Data Sheet'!D42, 0)</f>
      </c>
      <c r="O94" s="56">
        <f>IFERROR('Data Sheet'!E42, 0)</f>
      </c>
      <c r="P94" s="56">
        <f>IFERROR('Data Sheet'!F42, 0)</f>
      </c>
      <c r="Q94" s="56">
        <f>IFERROR('Data Sheet'!G42, 0)</f>
      </c>
      <c r="R94" s="56">
        <f>IFERROR('Data Sheet'!H42, 0)</f>
      </c>
      <c r="S94" s="56">
        <f>IFERROR('Data Sheet'!I42, 0)</f>
      </c>
      <c r="T94" s="56">
        <f>IFERROR('Data Sheet'!J42, 0)</f>
      </c>
      <c r="U94" s="56">
        <f>IFERROR('Data Sheet'!K42, 0)</f>
      </c>
      <c r="Y94" s="71">
        <f>IFERROR(_xlfn.FORECAST.LINEAR(Y$89, $J94:$U94, $J$89:$U$89), 0)</f>
      </c>
      <c r="Z94" s="71">
        <f t="shared" ref="Z94:AH94" si="117">IFERROR(_xlfn.FORECAST.LINEAR(Z$89, $J94:$U94, $J$89:$U$89), 0)</f>
      </c>
      <c r="AA94" s="71">
        <f t="shared" si="117"/>
      </c>
      <c r="AB94" s="71">
        <f t="shared" si="117"/>
      </c>
      <c r="AC94" s="71">
        <f t="shared" si="117"/>
      </c>
      <c r="AD94" s="71">
        <f t="shared" si="117"/>
      </c>
      <c r="AE94" s="71">
        <f t="shared" si="117"/>
      </c>
      <c r="AF94" s="71">
        <f t="shared" si="117"/>
      </c>
      <c r="AG94" s="71">
        <f t="shared" si="117"/>
      </c>
      <c r="AH94" s="71">
        <f t="shared" si="117"/>
      </c>
    </row>
    <row r="95" spans="2:34" x14ac:dyDescent="0.3">
      <c r="D95" s="78" t="s">
        <v>213</v>
      </c>
      <c r="K95" s="85"/>
      <c r="L95" s="85"/>
      <c r="M95" s="85"/>
      <c r="N95" s="85">
        <f t="shared" ref="N95" si="118">IFERROR(N94/J94-1, 0)</f>
      </c>
      <c r="O95" s="85">
        <f t="shared" ref="O95" si="119">IFERROR(O94/K94-1, 0)</f>
      </c>
      <c r="P95" s="85">
        <f t="shared" ref="P95" si="120">IFERROR(P94/L94-1, 0)</f>
      </c>
      <c r="Q95" s="85">
        <f t="shared" ref="Q95" si="121">IFERROR(Q94/M94-1, 0)</f>
      </c>
      <c r="R95" s="85">
        <f t="shared" ref="R95" si="122">IFERROR(R94/N94-1, 0)</f>
      </c>
      <c r="S95" s="85">
        <f t="shared" ref="S95" si="123">IFERROR(S94/O94-1, 0)</f>
      </c>
      <c r="T95" s="85">
        <f t="shared" ref="T95" si="124">IFERROR(T94/P94-1, 0)</f>
      </c>
      <c r="U95" s="85">
        <f>IFERROR(U94/Q94-1, 0)</f>
      </c>
      <c r="Y95" s="85">
        <f>IFERROR(Y94/R94-1, 0)</f>
      </c>
      <c r="Z95" s="85">
        <f>IFERROR(Z94/S94-1, 0)</f>
      </c>
      <c r="AA95" s="85">
        <f>IFERROR(AA94/T94-1, 0)</f>
      </c>
      <c r="AB95" s="85">
        <f>IFERROR(AB94/U94-1, 0)</f>
      </c>
      <c r="AC95" s="85">
        <f>IFERROR(AC94/Y94-1, 0)</f>
      </c>
      <c r="AD95" s="85">
        <f t="shared" ref="AD95:AH95" si="125">IFERROR(AD94/Z94-1, 0)</f>
      </c>
      <c r="AE95" s="85">
        <f t="shared" si="125"/>
      </c>
      <c r="AF95" s="85">
        <f t="shared" si="125"/>
      </c>
      <c r="AG95" s="85">
        <f t="shared" si="125"/>
      </c>
      <c r="AH95" s="85">
        <f t="shared" si="125"/>
      </c>
    </row>
    <row r="96" spans="2:34" x14ac:dyDescent="0.3">
      <c r="D96" s="78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</row>
    <row r="97" spans="3:34" x14ac:dyDescent="0.3">
      <c r="C97" s="2" t="s">
        <v>189</v>
      </c>
      <c r="H97" s="77" t="str">
        <f>$H$13</f>
      </c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 spans="3:34" x14ac:dyDescent="0.3">
      <c r="D98" s="12" t="str">
        <f t="shared" ref="D98:D107" si="126">D14</f>
      </c>
      <c r="H98" s="77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Y98" s="71">
        <f>IFERROR(_xlfn.FORECAST.LINEAR(Y$89, $J98:$U98, $J$89:$U$89), 0)</f>
      </c>
      <c r="Z98" s="71">
        <f t="shared" ref="Z98:AH107" si="127">IFERROR(_xlfn.FORECAST.LINEAR(Z$89, $J98:$U98, $J$89:$U$89), 0)</f>
      </c>
      <c r="AA98" s="71">
        <f t="shared" si="127"/>
      </c>
      <c r="AB98" s="71">
        <f t="shared" si="127"/>
      </c>
      <c r="AC98" s="71">
        <f t="shared" si="127"/>
      </c>
      <c r="AD98" s="71">
        <f t="shared" si="127"/>
      </c>
      <c r="AE98" s="71">
        <f t="shared" si="127"/>
      </c>
      <c r="AF98" s="71">
        <f t="shared" si="127"/>
      </c>
      <c r="AG98" s="71">
        <f t="shared" si="127"/>
      </c>
      <c r="AH98" s="71">
        <f t="shared" si="127"/>
      </c>
    </row>
    <row r="99" spans="3:34" x14ac:dyDescent="0.3">
      <c r="D99" s="12" t="str">
        <f t="shared" si="126"/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Y99" s="71">
        <f t="shared" ref="Y99:Y107" si="128">IFERROR(_xlfn.FORECAST.LINEAR(Y$89, $J99:$U99, $J$89:$U$89), 0)</f>
      </c>
      <c r="Z99" s="71">
        <f t="shared" si="127"/>
      </c>
      <c r="AA99" s="71">
        <f t="shared" si="127"/>
      </c>
      <c r="AB99" s="71">
        <f t="shared" si="127"/>
      </c>
      <c r="AC99" s="71">
        <f t="shared" si="127"/>
      </c>
      <c r="AD99" s="71">
        <f t="shared" si="127"/>
      </c>
      <c r="AE99" s="71">
        <f t="shared" si="127"/>
      </c>
      <c r="AF99" s="71">
        <f t="shared" si="127"/>
      </c>
      <c r="AG99" s="71">
        <f t="shared" si="127"/>
      </c>
      <c r="AH99" s="71">
        <f t="shared" si="127"/>
      </c>
    </row>
    <row r="100" spans="3:34" x14ac:dyDescent="0.3">
      <c r="D100" s="12" t="str">
        <f t="shared" si="126"/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Y100" s="71">
        <f t="shared" si="128"/>
      </c>
      <c r="Z100" s="71">
        <f t="shared" si="127"/>
      </c>
      <c r="AA100" s="71">
        <f t="shared" si="127"/>
      </c>
      <c r="AB100" s="71">
        <f t="shared" si="127"/>
      </c>
      <c r="AC100" s="71">
        <f t="shared" si="127"/>
      </c>
      <c r="AD100" s="71">
        <f t="shared" si="127"/>
      </c>
      <c r="AE100" s="71">
        <f t="shared" si="127"/>
      </c>
      <c r="AF100" s="71">
        <f t="shared" si="127"/>
      </c>
      <c r="AG100" s="71">
        <f t="shared" si="127"/>
      </c>
      <c r="AH100" s="71">
        <f t="shared" si="127"/>
      </c>
    </row>
    <row r="101" spans="3:34" x14ac:dyDescent="0.3">
      <c r="D101" s="12" t="str">
        <f t="shared" si="126"/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Y101" s="71">
        <f t="shared" si="128"/>
      </c>
      <c r="Z101" s="71">
        <f t="shared" si="127"/>
      </c>
      <c r="AA101" s="71">
        <f t="shared" si="127"/>
      </c>
      <c r="AB101" s="71">
        <f t="shared" si="127"/>
      </c>
      <c r="AC101" s="71">
        <f t="shared" si="127"/>
      </c>
      <c r="AD101" s="71">
        <f t="shared" si="127"/>
      </c>
      <c r="AE101" s="71">
        <f t="shared" si="127"/>
      </c>
      <c r="AF101" s="71">
        <f t="shared" si="127"/>
      </c>
      <c r="AG101" s="71">
        <f t="shared" si="127"/>
      </c>
      <c r="AH101" s="71">
        <f t="shared" si="127"/>
      </c>
    </row>
    <row r="102" spans="3:34" x14ac:dyDescent="0.3">
      <c r="D102" s="12" t="str">
        <f t="shared" si="126"/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Y102" s="71">
        <f t="shared" si="128"/>
      </c>
      <c r="Z102" s="71">
        <f t="shared" si="127"/>
      </c>
      <c r="AA102" s="71">
        <f t="shared" si="127"/>
      </c>
      <c r="AB102" s="71">
        <f t="shared" si="127"/>
      </c>
      <c r="AC102" s="71">
        <f t="shared" si="127"/>
      </c>
      <c r="AD102" s="71">
        <f t="shared" si="127"/>
      </c>
      <c r="AE102" s="71">
        <f t="shared" si="127"/>
      </c>
      <c r="AF102" s="71">
        <f t="shared" si="127"/>
      </c>
      <c r="AG102" s="71">
        <f t="shared" si="127"/>
      </c>
      <c r="AH102" s="71">
        <f t="shared" si="127"/>
      </c>
    </row>
    <row r="103" spans="3:34" x14ac:dyDescent="0.3">
      <c r="D103" s="12" t="str">
        <f t="shared" si="126"/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Y103" s="71">
        <f t="shared" si="128"/>
      </c>
      <c r="Z103" s="71">
        <f t="shared" si="127"/>
      </c>
      <c r="AA103" s="71">
        <f t="shared" si="127"/>
      </c>
      <c r="AB103" s="71">
        <f t="shared" si="127"/>
      </c>
      <c r="AC103" s="71">
        <f t="shared" si="127"/>
      </c>
      <c r="AD103" s="71">
        <f t="shared" si="127"/>
      </c>
      <c r="AE103" s="71">
        <f t="shared" si="127"/>
      </c>
      <c r="AF103" s="71">
        <f t="shared" si="127"/>
      </c>
      <c r="AG103" s="71">
        <f t="shared" si="127"/>
      </c>
      <c r="AH103" s="71">
        <f t="shared" si="127"/>
      </c>
    </row>
    <row r="104" spans="3:34" x14ac:dyDescent="0.3">
      <c r="D104" s="12" t="str">
        <f t="shared" si="126"/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Y104" s="71">
        <f t="shared" si="128"/>
      </c>
      <c r="Z104" s="71">
        <f t="shared" si="127"/>
      </c>
      <c r="AA104" s="71">
        <f t="shared" si="127"/>
      </c>
      <c r="AB104" s="71">
        <f t="shared" si="127"/>
      </c>
      <c r="AC104" s="71">
        <f t="shared" si="127"/>
      </c>
      <c r="AD104" s="71">
        <f t="shared" si="127"/>
      </c>
      <c r="AE104" s="71">
        <f t="shared" si="127"/>
      </c>
      <c r="AF104" s="71">
        <f t="shared" si="127"/>
      </c>
      <c r="AG104" s="71">
        <f t="shared" si="127"/>
      </c>
      <c r="AH104" s="71">
        <f t="shared" si="127"/>
      </c>
    </row>
    <row r="105" spans="3:34" x14ac:dyDescent="0.3">
      <c r="D105" s="12" t="str">
        <f t="shared" si="126"/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Y105" s="71">
        <f t="shared" si="128"/>
      </c>
      <c r="Z105" s="71">
        <f t="shared" si="127"/>
      </c>
      <c r="AA105" s="71">
        <f t="shared" si="127"/>
      </c>
      <c r="AB105" s="71">
        <f t="shared" si="127"/>
      </c>
      <c r="AC105" s="71">
        <f t="shared" si="127"/>
      </c>
      <c r="AD105" s="71">
        <f t="shared" si="127"/>
      </c>
      <c r="AE105" s="71">
        <f t="shared" si="127"/>
      </c>
      <c r="AF105" s="71">
        <f t="shared" si="127"/>
      </c>
      <c r="AG105" s="71">
        <f t="shared" si="127"/>
      </c>
      <c r="AH105" s="71">
        <f t="shared" si="127"/>
      </c>
    </row>
    <row r="106" spans="3:34" x14ac:dyDescent="0.3">
      <c r="D106" s="12" t="str">
        <f t="shared" si="126"/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Y106" s="71">
        <f t="shared" si="128"/>
      </c>
      <c r="Z106" s="71">
        <f t="shared" si="127"/>
      </c>
      <c r="AA106" s="71">
        <f t="shared" si="127"/>
      </c>
      <c r="AB106" s="71">
        <f t="shared" si="127"/>
      </c>
      <c r="AC106" s="71">
        <f t="shared" si="127"/>
      </c>
      <c r="AD106" s="71">
        <f t="shared" si="127"/>
      </c>
      <c r="AE106" s="71">
        <f t="shared" si="127"/>
      </c>
      <c r="AF106" s="71">
        <f t="shared" si="127"/>
      </c>
      <c r="AG106" s="71">
        <f t="shared" si="127"/>
      </c>
      <c r="AH106" s="71">
        <f t="shared" si="127"/>
      </c>
    </row>
    <row r="107" spans="3:34" x14ac:dyDescent="0.3">
      <c r="D107" s="12" t="str">
        <f t="shared" si="126"/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Y107" s="71">
        <f t="shared" si="128"/>
      </c>
      <c r="Z107" s="71">
        <f t="shared" si="127"/>
      </c>
      <c r="AA107" s="71">
        <f t="shared" si="127"/>
      </c>
      <c r="AB107" s="71">
        <f t="shared" si="127"/>
      </c>
      <c r="AC107" s="71">
        <f t="shared" si="127"/>
      </c>
      <c r="AD107" s="71">
        <f t="shared" si="127"/>
      </c>
      <c r="AE107" s="71">
        <f t="shared" si="127"/>
      </c>
      <c r="AF107" s="71">
        <f t="shared" si="127"/>
      </c>
      <c r="AG107" s="71">
        <f t="shared" si="127"/>
      </c>
      <c r="AH107" s="71">
        <f t="shared" si="127"/>
      </c>
    </row>
    <row r="108" spans="3:34" x14ac:dyDescent="0.3">
      <c r="D108" s="2" t="s">
        <v>189</v>
      </c>
      <c r="J108" s="90">
        <f t="shared" ref="J108" si="129">SUM(J98:J107)</f>
      </c>
      <c r="K108" s="90">
        <f>SUM(K98:K107)</f>
      </c>
      <c r="L108" s="90">
        <f t="shared" ref="L108" si="130">SUM(L98:L107)</f>
      </c>
      <c r="M108" s="90">
        <f t="shared" ref="M108" si="131">SUM(M98:M107)</f>
      </c>
      <c r="N108" s="90">
        <f t="shared" ref="N108" si="132">SUM(N98:N107)</f>
      </c>
      <c r="O108" s="90">
        <f t="shared" ref="O108" si="133">SUM(O98:O107)</f>
      </c>
      <c r="P108" s="90">
        <f t="shared" ref="P108" si="134">SUM(P98:P107)</f>
      </c>
      <c r="Q108" s="90">
        <f t="shared" ref="Q108" si="135">SUM(Q98:Q107)</f>
      </c>
      <c r="R108" s="90">
        <f t="shared" ref="R108" si="136">SUM(R98:R107)</f>
      </c>
      <c r="S108" s="90">
        <f t="shared" ref="S108" si="137">SUM(S98:S107)</f>
      </c>
      <c r="T108" s="90">
        <f t="shared" ref="T108" si="138">SUM(T98:T107)</f>
      </c>
      <c r="U108" s="90">
        <f t="shared" ref="U108" si="139">SUM(U98:U107)</f>
      </c>
      <c r="Y108" s="90">
        <f t="shared" ref="Y108" si="140">SUM(Y98:Y107)</f>
      </c>
      <c r="Z108" s="90">
        <f t="shared" ref="Z108" si="141">SUM(Z98:Z107)</f>
      </c>
      <c r="AA108" s="90">
        <f t="shared" ref="AA108" si="142">SUM(AA98:AA107)</f>
      </c>
      <c r="AB108" s="90">
        <f t="shared" ref="AB108" si="143">SUM(AB98:AB107)</f>
      </c>
      <c r="AC108" s="90">
        <f t="shared" ref="AC108" si="144">SUM(AC98:AC107)</f>
      </c>
      <c r="AD108" s="90">
        <f t="shared" ref="AD108" si="145">SUM(AD98:AD107)</f>
      </c>
      <c r="AE108" s="90">
        <f t="shared" ref="AE108" si="146">SUM(AE98:AE107)</f>
      </c>
      <c r="AF108" s="90">
        <f t="shared" ref="AF108" si="147">SUM(AF98:AF107)</f>
      </c>
      <c r="AG108" s="90">
        <f t="shared" ref="AG108" si="148">SUM(AG98:AG107)</f>
      </c>
      <c r="AH108" s="90">
        <f t="shared" ref="AH108" si="149">SUM(AH98:AH107)</f>
      </c>
    </row>
    <row r="109" spans="3:34" x14ac:dyDescent="0.3"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spans="3:34" x14ac:dyDescent="0.3">
      <c r="C110" s="2" t="s">
        <v>200</v>
      </c>
      <c r="H110" s="77" t="str">
        <f>$H$26</f>
      </c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 spans="3:34" x14ac:dyDescent="0.3">
      <c r="D111" s="12" t="str">
        <f t="shared" ref="D111:D118" si="150">D27</f>
      </c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Y111" s="71">
        <f>IFERROR(_xlfn.FORECAST.LINEAR(Y$89, $J111:$U111, $J$89:$U$89), 0)</f>
      </c>
      <c r="Z111" s="71">
        <f t="shared" ref="Z111:AH118" si="151">IFERROR(_xlfn.FORECAST.LINEAR(Z$89, $J111:$U111, $J$89:$U$89), 0)</f>
      </c>
      <c r="AA111" s="71">
        <f t="shared" si="151"/>
      </c>
      <c r="AB111" s="71">
        <f t="shared" si="151"/>
      </c>
      <c r="AC111" s="71">
        <f t="shared" si="151"/>
      </c>
      <c r="AD111" s="71">
        <f t="shared" si="151"/>
      </c>
      <c r="AE111" s="71">
        <f t="shared" si="151"/>
      </c>
      <c r="AF111" s="71">
        <f t="shared" si="151"/>
      </c>
      <c r="AG111" s="71">
        <f t="shared" si="151"/>
      </c>
      <c r="AH111" s="71">
        <f t="shared" si="151"/>
      </c>
    </row>
    <row r="112" spans="3:34" x14ac:dyDescent="0.3">
      <c r="D112" s="12" t="str">
        <f t="shared" si="150"/>
      </c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Y112" s="71">
        <f t="shared" ref="Y112:Y118" si="152">IFERROR(_xlfn.FORECAST.LINEAR(Y$89, $J112:$U112, $J$89:$U$89), 0)</f>
      </c>
      <c r="Z112" s="71">
        <f t="shared" si="151"/>
      </c>
      <c r="AA112" s="71">
        <f t="shared" si="151"/>
      </c>
      <c r="AB112" s="71">
        <f t="shared" si="151"/>
      </c>
      <c r="AC112" s="71">
        <f t="shared" si="151"/>
      </c>
      <c r="AD112" s="71">
        <f t="shared" si="151"/>
      </c>
      <c r="AE112" s="71">
        <f t="shared" si="151"/>
      </c>
      <c r="AF112" s="71">
        <f t="shared" si="151"/>
      </c>
      <c r="AG112" s="71">
        <f t="shared" si="151"/>
      </c>
      <c r="AH112" s="71">
        <f t="shared" si="151"/>
      </c>
    </row>
    <row r="113" spans="3:34" x14ac:dyDescent="0.3">
      <c r="D113" s="12" t="str">
        <f t="shared" si="150"/>
      </c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Y113" s="71">
        <f t="shared" si="152"/>
      </c>
      <c r="Z113" s="71">
        <f t="shared" si="151"/>
      </c>
      <c r="AA113" s="71">
        <f t="shared" si="151"/>
      </c>
      <c r="AB113" s="71">
        <f t="shared" si="151"/>
      </c>
      <c r="AC113" s="71">
        <f t="shared" si="151"/>
      </c>
      <c r="AD113" s="71">
        <f t="shared" si="151"/>
      </c>
      <c r="AE113" s="71">
        <f t="shared" si="151"/>
      </c>
      <c r="AF113" s="71">
        <f t="shared" si="151"/>
      </c>
      <c r="AG113" s="71">
        <f t="shared" si="151"/>
      </c>
      <c r="AH113" s="71">
        <f t="shared" si="151"/>
      </c>
    </row>
    <row r="114" spans="3:34" x14ac:dyDescent="0.3">
      <c r="D114" s="12" t="str">
        <f t="shared" si="150"/>
      </c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Y114" s="71">
        <f t="shared" si="152"/>
      </c>
      <c r="Z114" s="71">
        <f t="shared" si="151"/>
      </c>
      <c r="AA114" s="71">
        <f t="shared" si="151"/>
      </c>
      <c r="AB114" s="71">
        <f t="shared" si="151"/>
      </c>
      <c r="AC114" s="71">
        <f t="shared" si="151"/>
      </c>
      <c r="AD114" s="71">
        <f t="shared" si="151"/>
      </c>
      <c r="AE114" s="71">
        <f t="shared" si="151"/>
      </c>
      <c r="AF114" s="71">
        <f t="shared" si="151"/>
      </c>
      <c r="AG114" s="71">
        <f t="shared" si="151"/>
      </c>
      <c r="AH114" s="71">
        <f t="shared" si="151"/>
      </c>
    </row>
    <row r="115" spans="3:34" x14ac:dyDescent="0.3">
      <c r="D115" s="12" t="str">
        <f t="shared" si="150"/>
      </c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Y115" s="71">
        <f t="shared" si="152"/>
      </c>
      <c r="Z115" s="71">
        <f t="shared" si="151"/>
      </c>
      <c r="AA115" s="71">
        <f t="shared" si="151"/>
      </c>
      <c r="AB115" s="71">
        <f t="shared" si="151"/>
      </c>
      <c r="AC115" s="71">
        <f t="shared" si="151"/>
      </c>
      <c r="AD115" s="71">
        <f t="shared" si="151"/>
      </c>
      <c r="AE115" s="71">
        <f t="shared" si="151"/>
      </c>
      <c r="AF115" s="71">
        <f t="shared" si="151"/>
      </c>
      <c r="AG115" s="71">
        <f t="shared" si="151"/>
      </c>
      <c r="AH115" s="71">
        <f t="shared" si="151"/>
      </c>
    </row>
    <row r="116" spans="3:34" x14ac:dyDescent="0.3">
      <c r="D116" s="12" t="str">
        <f t="shared" si="150"/>
      </c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Y116" s="71">
        <f t="shared" si="152"/>
      </c>
      <c r="Z116" s="71">
        <f t="shared" si="151"/>
      </c>
      <c r="AA116" s="71">
        <f t="shared" si="151"/>
      </c>
      <c r="AB116" s="71">
        <f t="shared" si="151"/>
      </c>
      <c r="AC116" s="71">
        <f t="shared" si="151"/>
      </c>
      <c r="AD116" s="71">
        <f t="shared" si="151"/>
      </c>
      <c r="AE116" s="71">
        <f t="shared" si="151"/>
      </c>
      <c r="AF116" s="71">
        <f t="shared" si="151"/>
      </c>
      <c r="AG116" s="71">
        <f t="shared" si="151"/>
      </c>
      <c r="AH116" s="71">
        <f t="shared" si="151"/>
      </c>
    </row>
    <row r="117" spans="3:34" x14ac:dyDescent="0.3">
      <c r="D117" s="12" t="str">
        <f t="shared" si="150"/>
      </c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Y117" s="71">
        <f t="shared" si="152"/>
      </c>
      <c r="Z117" s="71">
        <f t="shared" si="151"/>
      </c>
      <c r="AA117" s="71">
        <f t="shared" si="151"/>
      </c>
      <c r="AB117" s="71">
        <f t="shared" si="151"/>
      </c>
      <c r="AC117" s="71">
        <f t="shared" si="151"/>
      </c>
      <c r="AD117" s="71">
        <f t="shared" si="151"/>
      </c>
      <c r="AE117" s="71">
        <f t="shared" si="151"/>
      </c>
      <c r="AF117" s="71">
        <f t="shared" si="151"/>
      </c>
      <c r="AG117" s="71">
        <f t="shared" si="151"/>
      </c>
      <c r="AH117" s="71">
        <f t="shared" si="151"/>
      </c>
    </row>
    <row r="118" spans="3:34" x14ac:dyDescent="0.3">
      <c r="D118" s="12" t="str">
        <f t="shared" si="150"/>
      </c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Y118" s="71">
        <f t="shared" si="152"/>
      </c>
      <c r="Z118" s="71">
        <f t="shared" si="151"/>
      </c>
      <c r="AA118" s="71">
        <f t="shared" si="151"/>
      </c>
      <c r="AB118" s="71">
        <f t="shared" si="151"/>
      </c>
      <c r="AC118" s="71">
        <f t="shared" si="151"/>
      </c>
      <c r="AD118" s="71">
        <f t="shared" si="151"/>
      </c>
      <c r="AE118" s="71">
        <f t="shared" si="151"/>
      </c>
      <c r="AF118" s="71">
        <f t="shared" si="151"/>
      </c>
      <c r="AG118" s="71">
        <f t="shared" si="151"/>
      </c>
      <c r="AH118" s="71">
        <f t="shared" si="151"/>
      </c>
    </row>
    <row r="119" spans="3:34" x14ac:dyDescent="0.3">
      <c r="D119" s="2" t="s">
        <v>200</v>
      </c>
      <c r="J119" s="90">
        <f>SUM(J111:J118)</f>
      </c>
      <c r="K119" s="90">
        <f t="shared" ref="K119" si="153">SUM(K111:K118)</f>
      </c>
      <c r="L119" s="90">
        <f t="shared" ref="L119" si="154">SUM(L111:L118)</f>
      </c>
      <c r="M119" s="90">
        <f t="shared" ref="M119" si="155">SUM(M111:M118)</f>
      </c>
      <c r="N119" s="90">
        <f t="shared" ref="N119" si="156">SUM(N111:N118)</f>
      </c>
      <c r="O119" s="90">
        <f t="shared" ref="O119" si="157">SUM(O111:O118)</f>
      </c>
      <c r="P119" s="90">
        <f t="shared" ref="P119" si="158">SUM(P111:P118)</f>
      </c>
      <c r="Q119" s="90">
        <f t="shared" ref="Q119" si="159">SUM(Q111:Q118)</f>
      </c>
      <c r="R119" s="90">
        <f t="shared" ref="R119" si="160">SUM(R111:R118)</f>
      </c>
      <c r="S119" s="90">
        <f t="shared" ref="S119" si="161">SUM(S111:S118)</f>
      </c>
      <c r="T119" s="90">
        <f t="shared" ref="T119" si="162">SUM(T111:T118)</f>
      </c>
      <c r="U119" s="90">
        <f t="shared" ref="U119" si="163">SUM(U111:U118)</f>
      </c>
      <c r="Y119" s="90">
        <f t="shared" ref="Y119" si="164">SUM(Y111:Y118)</f>
      </c>
      <c r="Z119" s="90">
        <f t="shared" ref="Z119" si="165">SUM(Z111:Z118)</f>
      </c>
      <c r="AA119" s="90">
        <f t="shared" ref="AA119" si="166">SUM(AA111:AA118)</f>
      </c>
      <c r="AB119" s="90">
        <f t="shared" ref="AB119" si="167">SUM(AB111:AB118)</f>
      </c>
      <c r="AC119" s="90">
        <f t="shared" ref="AC119" si="168">SUM(AC111:AC118)</f>
      </c>
      <c r="AD119" s="90">
        <f t="shared" ref="AD119" si="169">SUM(AD111:AD118)</f>
      </c>
      <c r="AE119" s="90">
        <f t="shared" ref="AE119" si="170">SUM(AE111:AE118)</f>
      </c>
      <c r="AF119" s="90">
        <f t="shared" ref="AF119" si="171">SUM(AF111:AF118)</f>
      </c>
      <c r="AG119" s="90">
        <f t="shared" ref="AG119" si="172">SUM(AG111:AG118)</f>
      </c>
      <c r="AH119" s="90">
        <f t="shared" ref="AH119" si="173">SUM(AH111:AH118)</f>
      </c>
    </row>
    <row r="120" spans="3:34" ht="15" thickBot="1" x14ac:dyDescent="0.35"/>
    <row r="121" spans="3:34" ht="15" thickBot="1" x14ac:dyDescent="0.35">
      <c r="C121" s="2" t="str">
        <f>$C$37</f>
      </c>
      <c r="H121" s="248">
        <f>H37</f>
      </c>
      <c r="J121" s="56"/>
      <c r="K121" s="56"/>
      <c r="L121" s="56">
        <f t="shared" ref="L121:T121" si="174">L94</f>
      </c>
      <c r="M121" s="56">
        <f t="shared" si="174"/>
      </c>
      <c r="N121" s="56">
        <f t="shared" si="174"/>
      </c>
      <c r="O121" s="56">
        <f t="shared" si="174"/>
      </c>
      <c r="P121" s="56">
        <f t="shared" si="174"/>
      </c>
      <c r="Q121" s="56">
        <f t="shared" si="174"/>
      </c>
      <c r="R121" s="56">
        <f t="shared" si="174"/>
      </c>
      <c r="S121" s="56">
        <f t="shared" si="174"/>
      </c>
      <c r="T121" s="56">
        <f t="shared" si="174"/>
      </c>
      <c r="U121" s="56">
        <f>U94</f>
      </c>
      <c r="Y121" s="71">
        <f t="shared" ref="Y121:AH121" si="175">IFERROR(_xlfn.FORECAST.LINEAR(Y$89, $J121:$U121, $J$89:$U$89), 0)</f>
      </c>
      <c r="Z121" s="71">
        <f t="shared" si="175"/>
      </c>
      <c r="AA121" s="71">
        <f t="shared" si="175"/>
      </c>
      <c r="AB121" s="71">
        <f t="shared" si="175"/>
      </c>
      <c r="AC121" s="71">
        <f t="shared" si="175"/>
      </c>
      <c r="AD121" s="71">
        <f t="shared" si="175"/>
      </c>
      <c r="AE121" s="71">
        <f t="shared" si="175"/>
      </c>
      <c r="AF121" s="71">
        <f t="shared" si="175"/>
      </c>
      <c r="AG121" s="71">
        <f t="shared" si="175"/>
      </c>
      <c r="AH121" s="71">
        <f t="shared" si="175"/>
      </c>
    </row>
    <row r="122" spans="3:34" x14ac:dyDescent="0.3">
      <c r="D122" s="78" t="s">
        <v>140</v>
      </c>
      <c r="K122" s="85"/>
      <c r="L122" s="85"/>
      <c r="M122" s="85"/>
      <c r="N122" s="85">
        <f t="shared" ref="N122:T122" si="176">IFERROR(N121/J121-1, 0)</f>
      </c>
      <c r="O122" s="85">
        <f t="shared" si="176"/>
      </c>
      <c r="P122" s="85">
        <f t="shared" si="176"/>
      </c>
      <c r="Q122" s="85">
        <f t="shared" si="176"/>
      </c>
      <c r="R122" s="85">
        <f t="shared" si="176"/>
      </c>
      <c r="S122" s="85">
        <f t="shared" si="176"/>
      </c>
      <c r="T122" s="85">
        <f t="shared" si="176"/>
      </c>
      <c r="U122" s="85">
        <f>IFERROR(U121/Q121-1, 0)</f>
      </c>
      <c r="Y122" s="85">
        <f>IFERROR(Y121/R121-1, 0)</f>
      </c>
      <c r="Z122" s="85">
        <f>IFERROR(Z121/S121-1, 0)</f>
      </c>
      <c r="AA122" s="85">
        <f>IFERROR(AA121/T121-1, 0)</f>
      </c>
      <c r="AB122" s="85">
        <f>IFERROR(AB121/U121-1, 0)</f>
      </c>
      <c r="AC122" s="85">
        <f>IFERROR(AC121/Y121-1, 0)</f>
      </c>
      <c r="AD122" s="85">
        <f t="shared" ref="AD122" si="177">IFERROR(AD121/Z121-1, 0)</f>
      </c>
      <c r="AE122" s="85">
        <f t="shared" ref="AE122" si="178">IFERROR(AE121/AA121-1, 0)</f>
      </c>
      <c r="AF122" s="85">
        <f t="shared" ref="AF122" si="179">IFERROR(AF121/AB121-1, 0)</f>
      </c>
      <c r="AG122" s="85">
        <f t="shared" ref="AG122" si="180">IFERROR(AG121/AC121-1, 0)</f>
      </c>
      <c r="AH122" s="85">
        <f t="shared" ref="AH122" si="181">IFERROR(AH121/AD121-1, 0)</f>
      </c>
    </row>
    <row r="124" spans="3:34" x14ac:dyDescent="0.3">
      <c r="C124" s="2" t="s">
        <v>209</v>
      </c>
      <c r="H124" s="87" t="str">
        <f>'Assumptions&amp;Scenario'!K44</f>
      </c>
      <c r="J124" s="71">
        <f>IFERROR(J94*$H$37/J121, 0)</f>
      </c>
      <c r="K124" s="71">
        <f t="shared" ref="K124:U124" si="182">IFERROR(K94*$H$37/K121, 0)</f>
      </c>
      <c r="L124" s="71">
        <f t="shared" si="182"/>
      </c>
      <c r="M124" s="71">
        <f t="shared" si="182"/>
      </c>
      <c r="N124" s="71">
        <f t="shared" si="182"/>
      </c>
      <c r="O124" s="71">
        <f t="shared" si="182"/>
      </c>
      <c r="P124" s="71">
        <f t="shared" si="182"/>
      </c>
      <c r="Q124" s="71">
        <f t="shared" si="182"/>
      </c>
      <c r="R124" s="71">
        <f t="shared" si="182"/>
      </c>
      <c r="S124" s="71">
        <f t="shared" si="182"/>
      </c>
      <c r="T124" s="71">
        <f t="shared" si="182"/>
      </c>
      <c r="U124" s="71">
        <f t="shared" si="182"/>
      </c>
      <c r="Y124" s="71">
        <f t="shared" ref="Y124:AH124" si="183">IFERROR(Y94*$H$37/Y121, 0)</f>
      </c>
      <c r="Z124" s="71">
        <f t="shared" si="183"/>
      </c>
      <c r="AA124" s="71">
        <f t="shared" si="183"/>
      </c>
      <c r="AB124" s="71">
        <f t="shared" si="183"/>
      </c>
      <c r="AC124" s="71">
        <f t="shared" si="183"/>
      </c>
      <c r="AD124" s="71">
        <f t="shared" si="183"/>
      </c>
      <c r="AE124" s="71">
        <f t="shared" si="183"/>
      </c>
      <c r="AF124" s="71">
        <f t="shared" si="183"/>
      </c>
      <c r="AG124" s="71">
        <f t="shared" si="183"/>
      </c>
      <c r="AH124" s="71">
        <f t="shared" si="183"/>
      </c>
    </row>
    <row r="125" spans="3:34" x14ac:dyDescent="0.3">
      <c r="D125" s="78" t="s">
        <v>212</v>
      </c>
      <c r="K125" s="85"/>
      <c r="L125" s="85"/>
      <c r="M125" s="85"/>
      <c r="N125" s="85">
        <f t="shared" ref="N125" si="184">IFERROR(N124/J124-1, 0)</f>
      </c>
      <c r="O125" s="85">
        <f t="shared" ref="O125" si="185">IFERROR(O124/K124-1, 0)</f>
      </c>
      <c r="P125" s="85">
        <f t="shared" ref="P125" si="186">IFERROR(P124/L124-1, 0)</f>
      </c>
      <c r="Q125" s="85">
        <f t="shared" ref="Q125" si="187">IFERROR(Q124/M124-1, 0)</f>
      </c>
      <c r="R125" s="85">
        <f t="shared" ref="R125" si="188">IFERROR(R124/N124-1, 0)</f>
      </c>
      <c r="S125" s="85">
        <f t="shared" ref="S125" si="189">IFERROR(S124/O124-1, 0)</f>
      </c>
      <c r="T125" s="85">
        <f t="shared" ref="T125" si="190">IFERROR(T124/P124-1, 0)</f>
      </c>
      <c r="U125" s="85">
        <f>IFERROR(U124/Q124-1, 0)</f>
      </c>
      <c r="Y125" s="85">
        <f>IFERROR(Y124/R124-1, 0)</f>
      </c>
      <c r="Z125" s="85">
        <f>IFERROR(Z124/S124-1, 0)</f>
      </c>
      <c r="AA125" s="85">
        <f>IFERROR(AA124/T124-1, 0)</f>
      </c>
      <c r="AB125" s="85">
        <f>IFERROR(AB124/U124-1, 0)</f>
      </c>
      <c r="AC125" s="85">
        <f>IFERROR(AC124/Y124-1, 0)</f>
      </c>
      <c r="AD125" s="85">
        <f t="shared" ref="AD125" si="191">IFERROR(AD124/Z124-1, 0)</f>
      </c>
      <c r="AE125" s="85">
        <f t="shared" ref="AE125" si="192">IFERROR(AE124/AA124-1, 0)</f>
      </c>
      <c r="AF125" s="85">
        <f t="shared" ref="AF125" si="193">IFERROR(AF124/AB124-1, 0)</f>
      </c>
      <c r="AG125" s="85">
        <f t="shared" ref="AG125" si="194">IFERROR(AG124/AC124-1, 0)</f>
      </c>
      <c r="AH125" s="85">
        <f t="shared" ref="AH125" si="195">IFERROR(AH124/AD124-1, 0)</f>
      </c>
    </row>
    <row r="129" spans="2:34" ht="18" x14ac:dyDescent="0.35">
      <c r="B129" s="148" t="str">
        <f>'Assumptions&amp;Scenario'!$K$10</f>
      </c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</row>
    <row r="130" spans="2:34" ht="18" thickBot="1" x14ac:dyDescent="0.35">
      <c r="B130" s="47" t="s">
        <v>503</v>
      </c>
      <c r="C130" s="48"/>
      <c r="D130" s="48"/>
      <c r="E130" s="48"/>
      <c r="F130" s="48"/>
      <c r="G130" s="48"/>
      <c r="H130" s="49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Y130" s="47" t="s">
        <v>501</v>
      </c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 spans="2:34" x14ac:dyDescent="0.3">
      <c r="C131" s="2"/>
      <c r="D131" s="2"/>
      <c r="E131" s="2"/>
      <c r="F131" s="2"/>
      <c r="J131" s="40">
        <v>1</v>
      </c>
      <c r="K131" s="40">
        <v>2</v>
      </c>
      <c r="L131" s="89">
        <v>2</v>
      </c>
      <c r="M131" s="89">
        <v>4</v>
      </c>
      <c r="N131" s="89">
        <v>5</v>
      </c>
      <c r="O131" s="89">
        <v>6</v>
      </c>
      <c r="P131" s="89">
        <v>7</v>
      </c>
      <c r="Q131" s="89">
        <v>8</v>
      </c>
      <c r="R131" s="89">
        <v>9</v>
      </c>
      <c r="S131" s="89">
        <v>10</v>
      </c>
      <c r="T131" s="89">
        <v>11</v>
      </c>
      <c r="U131" s="89">
        <v>12</v>
      </c>
      <c r="V131" s="40"/>
      <c r="W131" s="40"/>
      <c r="X131" s="40"/>
      <c r="Y131" s="89">
        <v>13</v>
      </c>
      <c r="Z131" s="89">
        <v>14</v>
      </c>
      <c r="AA131" s="89">
        <v>15</v>
      </c>
      <c r="AB131" s="89">
        <v>16</v>
      </c>
      <c r="AC131" s="89">
        <v>17</v>
      </c>
      <c r="AD131" s="89">
        <v>18</v>
      </c>
      <c r="AE131" s="89">
        <v>19</v>
      </c>
      <c r="AF131" s="89">
        <v>20</v>
      </c>
      <c r="AG131" s="89">
        <v>21</v>
      </c>
      <c r="AH131" s="89">
        <v>22</v>
      </c>
    </row>
    <row r="132" spans="2:34" ht="15.6" x14ac:dyDescent="0.3">
      <c r="C132" s="43" t="s">
        <v>25</v>
      </c>
      <c r="D132" s="43"/>
      <c r="E132" s="43"/>
      <c r="F132" s="43"/>
      <c r="G132" s="43"/>
      <c r="H132" s="44"/>
      <c r="I132" s="44"/>
      <c r="J132" s="44" t="str">
        <f t="shared" ref="J132" si="196">"FY"&amp;TEXT(MID(K132,3,2)-IF(RIGHT(K132,1)="1",1,0),"00")&amp;"Q"&amp;CHOOSE(RIGHT(K132,1)+0,4,1,2,3)</f>
      </c>
      <c r="K132" s="44" t="str">
        <f t="shared" ref="K132" si="197">"FY"&amp;TEXT(MID(L132,3,2)-IF(RIGHT(L132,1)="1",1,0),"00")&amp;"Q"&amp;CHOOSE(RIGHT(L132,1)+0,4,1,2,3)</f>
      </c>
      <c r="L132" s="79" t="str">
        <f t="shared" ref="L132" si="198">"FY"&amp;TEXT(MID(M132,3,2)-IF(RIGHT(M132,1)="1",1,0),"00")&amp;"Q"&amp;CHOOSE(RIGHT(M132,1)+0,4,1,2,3)</f>
      </c>
      <c r="M132" s="79" t="str">
        <f t="shared" ref="M132" si="199">"FY"&amp;TEXT(MID(N132,3,2)-IF(RIGHT(N132,1)="1",1,0),"00")&amp;"Q"&amp;CHOOSE(RIGHT(N132,1)+0,4,1,2,3)</f>
      </c>
      <c r="N132" s="79" t="str">
        <f t="shared" ref="N132" si="200">"FY"&amp;TEXT(MID(O132,3,2)-IF(RIGHT(O132,1)="1",1,0),"00")&amp;"Q"&amp;CHOOSE(RIGHT(O132,1)+0,4,1,2,3)</f>
      </c>
      <c r="O132" s="79" t="str">
        <f t="shared" ref="O132" si="201">"FY"&amp;TEXT(MID(P132,3,2)-IF(RIGHT(P132,1)="1",1,0),"00")&amp;"Q"&amp;CHOOSE(RIGHT(P132,1)+0,4,1,2,3)</f>
      </c>
      <c r="P132" s="79" t="str">
        <f t="shared" ref="P132" si="202">"FY"&amp;TEXT(MID(Q132,3,2)-IF(RIGHT(Q132,1)="1",1,0),"00")&amp;"Q"&amp;CHOOSE(RIGHT(Q132,1)+0,4,1,2,3)</f>
      </c>
      <c r="Q132" s="79" t="str">
        <f t="shared" ref="Q132" si="203">"FY"&amp;TEXT(MID(R132,3,2)-IF(RIGHT(R132,1)="1",1,0),"00")&amp;"Q"&amp;CHOOSE(RIGHT(R132,1)+0,4,1,2,3)</f>
      </c>
      <c r="R132" s="79" t="str">
        <f t="shared" ref="R132" si="204">"FY"&amp;TEXT(MID(S132,3,2)-IF(RIGHT(S132,1)="1",1,0),"00")&amp;"Q"&amp;CHOOSE(RIGHT(S132,1)+0,4,1,2,3)</f>
      </c>
      <c r="S132" s="79" t="str">
        <f t="shared" ref="S132" si="205">"FY"&amp;TEXT(MID(T132,3,2)-IF(RIGHT(T132,1)="1",1,0),"00")&amp;"Q"&amp;CHOOSE(RIGHT(T132,1)+0,4,1,2,3)</f>
      </c>
      <c r="T132" s="79" t="str">
        <f>"FY"&amp;TEXT(MID(U132,3,2)-IF(RIGHT(U132,1)="1",1,0),"00")&amp;"Q"&amp;CHOOSE(RIGHT(U132,1)+0,4,1,2,3)</f>
      </c>
      <c r="U132" s="79" t="str">
        <f>"FY"&amp;TEXT(YEAR('Data Sheet'!$K$41)+(MONTH('Data Sheet'!$K$41)&gt;3)-2000,"00")&amp;"Q"&amp;INT((MOD(MONTH('Data Sheet'!$K$41)-4,12))/3)+1</f>
      </c>
      <c r="Y132" s="44" t="str">
        <f>Model!$N$31</f>
      </c>
      <c r="Z132" s="44" t="str">
        <f t="shared" ref="Z132" si="206">"FY"&amp;TEXT(MID(Y132,3,2)+IF(RIGHT(Y132,1)="4",1,0),"00")&amp;"Q"&amp;MOD(RIGHT(Y132,1),4)+1</f>
      </c>
      <c r="AA132" s="44" t="str">
        <f t="shared" ref="AA132" si="207">"FY"&amp;TEXT(MID(Z132,3,2)+IF(RIGHT(Z132,1)="4",1,0),"00")&amp;"Q"&amp;MOD(RIGHT(Z132,1),4)+1</f>
      </c>
      <c r="AB132" s="44" t="str">
        <f t="shared" ref="AB132" si="208">"FY"&amp;TEXT(MID(AA132,3,2)+IF(RIGHT(AA132,1)="4",1,0),"00")&amp;"Q"&amp;MOD(RIGHT(AA132,1),4)+1</f>
      </c>
      <c r="AC132" s="44" t="str">
        <f t="shared" ref="AC132" si="209">"FY"&amp;TEXT(MID(AB132,3,2)+IF(RIGHT(AB132,1)="4",1,0),"00")&amp;"Q"&amp;MOD(RIGHT(AB132,1),4)+1</f>
      </c>
      <c r="AD132" s="44" t="str">
        <f t="shared" ref="AD132" si="210">"FY"&amp;TEXT(MID(AC132,3,2)+IF(RIGHT(AC132,1)="4",1,0),"00")&amp;"Q"&amp;MOD(RIGHT(AC132,1),4)+1</f>
      </c>
      <c r="AE132" s="44" t="str">
        <f t="shared" ref="AE132" si="211">"FY"&amp;TEXT(MID(AD132,3,2)+IF(RIGHT(AD132,1)="4",1,0),"00")&amp;"Q"&amp;MOD(RIGHT(AD132,1),4)+1</f>
      </c>
      <c r="AF132" s="44" t="str">
        <f t="shared" ref="AF132" si="212">"FY"&amp;TEXT(MID(AE132,3,2)+IF(RIGHT(AE132,1)="4",1,0),"00")&amp;"Q"&amp;MOD(RIGHT(AE132,1),4)+1</f>
      </c>
      <c r="AG132" s="44" t="str">
        <f t="shared" ref="AG132" si="213">"FY"&amp;TEXT(MID(AF132,3,2)+IF(RIGHT(AF132,1)="4",1,0),"00")&amp;"Q"&amp;MOD(RIGHT(AF132,1),4)+1</f>
      </c>
      <c r="AH132" s="44" t="str">
        <f t="shared" ref="AH132" si="214">"FY"&amp;TEXT(MID(AG132,3,2)+IF(RIGHT(AG132,1)="4",1,0),"00")&amp;"Q"&amp;MOD(RIGHT(AG132,1),4)+1</f>
      </c>
    </row>
    <row r="133" spans="2:34" ht="3" customHeight="1" x14ac:dyDescent="0.3"/>
    <row r="134" spans="2:34" ht="3" customHeight="1" x14ac:dyDescent="0.3"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2:34" ht="3" customHeight="1" x14ac:dyDescent="0.3"/>
    <row r="171" spans="2:34" ht="18" x14ac:dyDescent="0.35">
      <c r="B171" s="148" t="str">
        <f>'Assumptions&amp;Scenario'!$K$10</f>
      </c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</row>
    <row r="172" spans="2:34" ht="18" thickBot="1" x14ac:dyDescent="0.35">
      <c r="B172" s="47" t="s">
        <v>214</v>
      </c>
      <c r="C172" s="48"/>
      <c r="D172" s="48"/>
      <c r="E172" s="48"/>
      <c r="F172" s="48"/>
      <c r="G172" s="48"/>
      <c r="H172" s="49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Y172" s="47" t="s">
        <v>307</v>
      </c>
      <c r="Z172" s="48"/>
      <c r="AA172" s="48"/>
      <c r="AB172" s="48"/>
      <c r="AC172" s="48"/>
      <c r="AD172" s="48"/>
      <c r="AE172" s="48"/>
      <c r="AF172" s="48"/>
      <c r="AG172" s="48"/>
      <c r="AH172" s="48"/>
    </row>
    <row r="173" spans="2:34" x14ac:dyDescent="0.3">
      <c r="C173" s="2"/>
      <c r="D173" s="2"/>
      <c r="E173" s="2"/>
      <c r="F173" s="2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</row>
    <row r="174" spans="2:34" ht="15.6" x14ac:dyDescent="0.3">
      <c r="C174" s="43" t="s">
        <v>389</v>
      </c>
      <c r="D174" s="43"/>
      <c r="E174" s="43"/>
      <c r="F174" s="43"/>
      <c r="G174" s="43"/>
      <c r="H174" s="44"/>
      <c r="I174" s="44"/>
      <c r="J174" s="44" t="str">
        <f>"FY"&amp;TEXT(RIGHT(K174,2)-(COLUMN(K174)-COLUMN()),"00")</f>
      </c>
      <c r="K174" s="44" t="str">
        <f t="shared" ref="K174:T174" si="215">"FY"&amp;TEXT(RIGHT(L174,2)-(COLUMN(L174)-COLUMN()),"00")</f>
      </c>
      <c r="L174" s="79" t="str">
        <f t="shared" si="215"/>
      </c>
      <c r="M174" s="79" t="str">
        <f t="shared" si="215"/>
      </c>
      <c r="N174" s="79" t="str">
        <f t="shared" si="215"/>
      </c>
      <c r="O174" s="79" t="str">
        <f t="shared" si="215"/>
      </c>
      <c r="P174" s="79" t="str">
        <f t="shared" si="215"/>
      </c>
      <c r="Q174" s="79" t="str">
        <f t="shared" si="215"/>
      </c>
      <c r="R174" s="79" t="str">
        <f t="shared" si="215"/>
      </c>
      <c r="S174" s="79" t="str">
        <f t="shared" si="215"/>
      </c>
      <c r="T174" s="79" t="str">
        <f t="shared" si="215"/>
      </c>
      <c r="U174" s="79" t="str">
        <f>"FY"&amp;TEXT(DATE(YEAR('Data Sheet'!$K$16)+(MONTH('Data Sheet'!$K$16)&gt;3),1,1),"YY")</f>
      </c>
      <c r="Y174" s="44" t="str">
        <f>Model!$L$6</f>
      </c>
      <c r="Z174" s="44" t="str">
        <f t="shared" ref="Z174" si="216">"FY"&amp;TEXT(RIGHT(Y174,2)+COLUMN()-COLUMN(Y174),"00")</f>
      </c>
      <c r="AA174" s="44" t="str">
        <f t="shared" ref="AA174" si="217">"FY"&amp;TEXT(RIGHT(Z174,2)+COLUMN()-COLUMN(Z174),"00")</f>
      </c>
      <c r="AB174" s="44" t="str">
        <f t="shared" ref="AB174" si="218">"FY"&amp;TEXT(RIGHT(AA174,2)+COLUMN()-COLUMN(AA174),"00")</f>
      </c>
      <c r="AC174" s="44" t="str">
        <f t="shared" ref="AC174" si="219">"FY"&amp;TEXT(RIGHT(AB174,2)+COLUMN()-COLUMN(AB174),"00")</f>
      </c>
      <c r="AD174" s="44" t="str">
        <f t="shared" ref="AD174" si="220">"FY"&amp;TEXT(RIGHT(AC174,2)+COLUMN()-COLUMN(AC174),"00")</f>
      </c>
      <c r="AE174" s="44" t="str">
        <f t="shared" ref="AE174" si="221">"FY"&amp;TEXT(RIGHT(AD174,2)+COLUMN()-COLUMN(AD174),"00")</f>
      </c>
      <c r="AF174" s="44" t="str">
        <f t="shared" ref="AF174" si="222">"FY"&amp;TEXT(RIGHT(AE174,2)+COLUMN()-COLUMN(AE174),"00")</f>
      </c>
      <c r="AG174" s="44" t="str">
        <f t="shared" ref="AG174" si="223">"FY"&amp;TEXT(RIGHT(AF174,2)+COLUMN()-COLUMN(AF174),"00")</f>
      </c>
      <c r="AH174" s="44" t="str">
        <f t="shared" ref="AH174" si="224">"FY"&amp;TEXT(RIGHT(AG174,2)+COLUMN()-COLUMN(AG174),"00")</f>
      </c>
    </row>
    <row r="175" spans="2:34" ht="3" customHeight="1" x14ac:dyDescent="0.3"/>
    <row r="176" spans="2:34" ht="3" customHeight="1" x14ac:dyDescent="0.3"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3:34" ht="3" customHeight="1" thickBot="1" x14ac:dyDescent="0.35"/>
    <row r="178" spans="3:34" ht="15" thickBot="1" x14ac:dyDescent="0.35">
      <c r="C178" s="2" t="str">
        <f>$C$37</f>
      </c>
      <c r="H178" s="248">
        <f>H121</f>
      </c>
      <c r="J178" s="71">
        <f t="shared" ref="J178:U178" si="225">J37</f>
      </c>
      <c r="K178" s="71">
        <f t="shared" si="225"/>
      </c>
      <c r="L178" s="71">
        <f t="shared" si="225"/>
      </c>
      <c r="M178" s="71">
        <f t="shared" si="225"/>
      </c>
      <c r="N178" s="71">
        <f t="shared" si="225"/>
      </c>
      <c r="O178" s="71">
        <f t="shared" si="225"/>
      </c>
      <c r="P178" s="71">
        <f t="shared" si="225"/>
      </c>
      <c r="Q178" s="71">
        <f t="shared" si="225"/>
      </c>
      <c r="R178" s="71">
        <f t="shared" si="225"/>
      </c>
      <c r="S178" s="71">
        <f t="shared" si="225"/>
      </c>
      <c r="T178" s="71">
        <f t="shared" si="225"/>
      </c>
      <c r="U178" s="71">
        <f t="shared" si="225"/>
      </c>
      <c r="Y178" s="71">
        <f t="shared" ref="Y178:AH178" si="226">Y37</f>
      </c>
      <c r="Z178" s="71">
        <f t="shared" si="226"/>
      </c>
      <c r="AA178" s="71">
        <f t="shared" si="226"/>
      </c>
      <c r="AB178" s="71">
        <f t="shared" si="226"/>
      </c>
      <c r="AC178" s="71">
        <f t="shared" si="226"/>
      </c>
      <c r="AD178" s="71">
        <f t="shared" si="226"/>
      </c>
      <c r="AE178" s="71">
        <f t="shared" si="226"/>
      </c>
      <c r="AF178" s="71">
        <f t="shared" si="226"/>
      </c>
      <c r="AG178" s="71">
        <f t="shared" si="226"/>
      </c>
      <c r="AH178" s="71">
        <f t="shared" si="226"/>
      </c>
    </row>
    <row r="179" spans="3:34" ht="3" customHeight="1" x14ac:dyDescent="0.3"/>
    <row r="180" spans="3:34" x14ac:dyDescent="0.3">
      <c r="C180" s="2" t="s">
        <v>221</v>
      </c>
      <c r="H180" s="77" t="str">
        <f>$H$10</f>
      </c>
    </row>
    <row r="181" spans="3:34" x14ac:dyDescent="0.3">
      <c r="D181" s="12" t="str">
        <f>'Assumptions&amp;Scenario'!D26</f>
      </c>
      <c r="E181" s="19"/>
      <c r="J181" s="56"/>
      <c r="K181" s="56"/>
      <c r="L181" s="56">
        <f>IFERROR('Data Sheet'!B18+'Data Sheet'!B19, 0)</f>
      </c>
      <c r="M181" s="56">
        <f>IFERROR('Data Sheet'!C18+'Data Sheet'!C19, 0)</f>
      </c>
      <c r="N181" s="56">
        <f>IFERROR('Data Sheet'!D18+'Data Sheet'!D19, 0)</f>
      </c>
      <c r="O181" s="56">
        <f>IFERROR('Data Sheet'!E18+'Data Sheet'!E19, 0)</f>
      </c>
      <c r="P181" s="56">
        <f>IFERROR('Data Sheet'!F18+'Data Sheet'!F19, 0)</f>
      </c>
      <c r="Q181" s="56">
        <f>IFERROR('Data Sheet'!G18+'Data Sheet'!G19, 0)</f>
      </c>
      <c r="R181" s="56">
        <f>IFERROR('Data Sheet'!H18+'Data Sheet'!H19, 0)</f>
      </c>
      <c r="S181" s="56">
        <f>IFERROR('Data Sheet'!I18+'Data Sheet'!I19, 0)</f>
      </c>
      <c r="T181" s="56">
        <f>IFERROR('Data Sheet'!J18+'Data Sheet'!J19, 0)</f>
      </c>
      <c r="U181" s="56">
        <f>IFERROR('Data Sheet'!K18+'Data Sheet'!K19, 0)</f>
      </c>
      <c r="Y181" s="71" cm="1">
        <f t="array" ref="Y181">IFERROR(_xlfn.FORECAST.LINEAR(RIGHT(Y$6,2), $J181:$U181, VALUE(RIGHT($J$6:$U$6,2))), 0)</f>
      </c>
      <c r="Z181" s="71" cm="1">
        <f t="array" ref="Z181">IFERROR(_xlfn.FORECAST.LINEAR(RIGHT(Z$6,2), $J181:$U181, VALUE(RIGHT($J$6:$U$6,2))), 0)</f>
      </c>
      <c r="AA181" s="71" cm="1">
        <f t="array" ref="AA181">IFERROR(_xlfn.FORECAST.LINEAR(RIGHT(AA$6,2), $J181:$U181, VALUE(RIGHT($J$6:$U$6,2))), 0)</f>
      </c>
      <c r="AB181" s="71" cm="1">
        <f t="array" ref="AB181">IFERROR(_xlfn.FORECAST.LINEAR(RIGHT(AB$6,2), $J181:$U181, VALUE(RIGHT($J$6:$U$6,2))), 0)</f>
      </c>
      <c r="AC181" s="71" cm="1">
        <f t="array" ref="AC181">IFERROR(_xlfn.FORECAST.LINEAR(RIGHT(AC$6,2), $J181:$U181, VALUE(RIGHT($J$6:$U$6,2))), 0)</f>
      </c>
      <c r="AD181" s="71" cm="1">
        <f t="array" ref="AD181">IFERROR(_xlfn.FORECAST.LINEAR(RIGHT(AD$6,2), $J181:$U181, VALUE(RIGHT($J$6:$U$6,2))), 0)</f>
      </c>
      <c r="AE181" s="71" cm="1">
        <f t="array" ref="AE181">IFERROR(_xlfn.FORECAST.LINEAR(RIGHT(AE$6,2), $J181:$U181, VALUE(RIGHT($J$6:$U$6,2))), 0)</f>
      </c>
      <c r="AF181" s="71" cm="1">
        <f t="array" ref="AF181">IFERROR(_xlfn.FORECAST.LINEAR(RIGHT(AF$6,2), $J181:$U181, VALUE(RIGHT($J$6:$U$6,2))), 0)</f>
      </c>
      <c r="AG181" s="71" cm="1">
        <f t="array" ref="AG181">IFERROR(_xlfn.FORECAST.LINEAR(RIGHT(AG$6,2), $J181:$U181, VALUE(RIGHT($J$6:$U$6,2))), 0)</f>
      </c>
      <c r="AH181" s="71" cm="1">
        <f t="array" ref="AH181">IFERROR(_xlfn.FORECAST.LINEAR(RIGHT(AH$6,2), $J181:$U181, VALUE(RIGHT($J$6:$U$6,2))), 0)</f>
      </c>
    </row>
    <row r="182" spans="3:34" x14ac:dyDescent="0.3">
      <c r="D182" s="12" t="str">
        <f>'Assumptions&amp;Scenario'!D27</f>
      </c>
      <c r="E182" s="19"/>
      <c r="J182" s="56"/>
      <c r="K182" s="56"/>
      <c r="L182" s="56">
        <f>IFERROR('Data Sheet'!B20, 0)</f>
      </c>
      <c r="M182" s="56">
        <f>IFERROR('Data Sheet'!C20, 0)</f>
      </c>
      <c r="N182" s="56">
        <f>IFERROR('Data Sheet'!D20, 0)</f>
      </c>
      <c r="O182" s="56">
        <f>IFERROR('Data Sheet'!E20, 0)</f>
      </c>
      <c r="P182" s="56">
        <f>IFERROR('Data Sheet'!F20, 0)</f>
      </c>
      <c r="Q182" s="56">
        <f>IFERROR('Data Sheet'!G20, 0)</f>
      </c>
      <c r="R182" s="56">
        <f>IFERROR('Data Sheet'!H20, 0)</f>
      </c>
      <c r="S182" s="56">
        <f>IFERROR('Data Sheet'!I20, 0)</f>
      </c>
      <c r="T182" s="56">
        <f>IFERROR('Data Sheet'!J20, 0)</f>
      </c>
      <c r="U182" s="56">
        <f>IFERROR('Data Sheet'!K20, 0)</f>
      </c>
      <c r="Y182" s="71" cm="1">
        <f t="array" ref="Y182">IFERROR(_xlfn.FORECAST.LINEAR(RIGHT(Y$6,2), $J182:$U182, VALUE(RIGHT($J$6:$U$6,2))), 0)</f>
      </c>
      <c r="Z182" s="71" cm="1">
        <f t="array" ref="Z182">IFERROR(_xlfn.FORECAST.LINEAR(RIGHT(Z$6,2), $J182:$U182, VALUE(RIGHT($J$6:$U$6,2))), 0)</f>
      </c>
      <c r="AA182" s="71" cm="1">
        <f t="array" ref="AA182">IFERROR(_xlfn.FORECAST.LINEAR(RIGHT(AA$6,2), $J182:$U182, VALUE(RIGHT($J$6:$U$6,2))), 0)</f>
      </c>
      <c r="AB182" s="71" cm="1">
        <f t="array" ref="AB182">IFERROR(_xlfn.FORECAST.LINEAR(RIGHT(AB$6,2), $J182:$U182, VALUE(RIGHT($J$6:$U$6,2))), 0)</f>
      </c>
      <c r="AC182" s="71" cm="1">
        <f t="array" ref="AC182">IFERROR(_xlfn.FORECAST.LINEAR(RIGHT(AC$6,2), $J182:$U182, VALUE(RIGHT($J$6:$U$6,2))), 0)</f>
      </c>
      <c r="AD182" s="71" cm="1">
        <f t="array" ref="AD182">IFERROR(_xlfn.FORECAST.LINEAR(RIGHT(AD$6,2), $J182:$U182, VALUE(RIGHT($J$6:$U$6,2))), 0)</f>
      </c>
      <c r="AE182" s="71" cm="1">
        <f t="array" ref="AE182">IFERROR(_xlfn.FORECAST.LINEAR(RIGHT(AE$6,2), $J182:$U182, VALUE(RIGHT($J$6:$U$6,2))), 0)</f>
      </c>
      <c r="AF182" s="71" cm="1">
        <f t="array" ref="AF182">IFERROR(_xlfn.FORECAST.LINEAR(RIGHT(AF$6,2), $J182:$U182, VALUE(RIGHT($J$6:$U$6,2))), 0)</f>
      </c>
      <c r="AG182" s="71" cm="1">
        <f t="array" ref="AG182">IFERROR(_xlfn.FORECAST.LINEAR(RIGHT(AG$6,2), $J182:$U182, VALUE(RIGHT($J$6:$U$6,2))), 0)</f>
      </c>
      <c r="AH182" s="71" cm="1">
        <f t="array" ref="AH182">IFERROR(_xlfn.FORECAST.LINEAR(RIGHT(AH$6,2), $J182:$U182, VALUE(RIGHT($J$6:$U$6,2))), 0)</f>
      </c>
    </row>
    <row r="183" spans="3:34" x14ac:dyDescent="0.3">
      <c r="D183" s="12" t="str">
        <f>'Assumptions&amp;Scenario'!D28</f>
      </c>
      <c r="E183" s="19"/>
      <c r="J183" s="56"/>
      <c r="K183" s="56"/>
      <c r="L183" s="56">
        <f>IFERROR('Data Sheet'!B21, 0)</f>
      </c>
      <c r="M183" s="56">
        <f>IFERROR('Data Sheet'!C21, 0)</f>
      </c>
      <c r="N183" s="56">
        <f>IFERROR('Data Sheet'!D21, 0)</f>
      </c>
      <c r="O183" s="56">
        <f>IFERROR('Data Sheet'!E21, 0)</f>
      </c>
      <c r="P183" s="56">
        <f>IFERROR('Data Sheet'!F21, 0)</f>
      </c>
      <c r="Q183" s="56">
        <f>IFERROR('Data Sheet'!G21, 0)</f>
      </c>
      <c r="R183" s="56">
        <f>IFERROR('Data Sheet'!H21, 0)</f>
      </c>
      <c r="S183" s="56">
        <f>IFERROR('Data Sheet'!I21, 0)</f>
      </c>
      <c r="T183" s="56">
        <f>IFERROR('Data Sheet'!J21, 0)</f>
      </c>
      <c r="U183" s="56">
        <f>IFERROR('Data Sheet'!K21, 0)</f>
      </c>
      <c r="Y183" s="71" cm="1">
        <f t="array" ref="Y183">IFERROR(_xlfn.FORECAST.LINEAR(RIGHT(Y$6,2), $J183:$U183, VALUE(RIGHT($J$6:$U$6,2))), 0)</f>
      </c>
      <c r="Z183" s="71" cm="1">
        <f t="array" ref="Z183">IFERROR(_xlfn.FORECAST.LINEAR(RIGHT(Z$6,2), $J183:$U183, VALUE(RIGHT($J$6:$U$6,2))), 0)</f>
      </c>
      <c r="AA183" s="71" cm="1">
        <f t="array" ref="AA183">IFERROR(_xlfn.FORECAST.LINEAR(RIGHT(AA$6,2), $J183:$U183, VALUE(RIGHT($J$6:$U$6,2))), 0)</f>
      </c>
      <c r="AB183" s="71" cm="1">
        <f t="array" ref="AB183">IFERROR(_xlfn.FORECAST.LINEAR(RIGHT(AB$6,2), $J183:$U183, VALUE(RIGHT($J$6:$U$6,2))), 0)</f>
      </c>
      <c r="AC183" s="71" cm="1">
        <f t="array" ref="AC183">IFERROR(_xlfn.FORECAST.LINEAR(RIGHT(AC$6,2), $J183:$U183, VALUE(RIGHT($J$6:$U$6,2))), 0)</f>
      </c>
      <c r="AD183" s="71" cm="1">
        <f t="array" ref="AD183">IFERROR(_xlfn.FORECAST.LINEAR(RIGHT(AD$6,2), $J183:$U183, VALUE(RIGHT($J$6:$U$6,2))), 0)</f>
      </c>
      <c r="AE183" s="71" cm="1">
        <f t="array" ref="AE183">IFERROR(_xlfn.FORECAST.LINEAR(RIGHT(AE$6,2), $J183:$U183, VALUE(RIGHT($J$6:$U$6,2))), 0)</f>
      </c>
      <c r="AF183" s="71" cm="1">
        <f t="array" ref="AF183">IFERROR(_xlfn.FORECAST.LINEAR(RIGHT(AF$6,2), $J183:$U183, VALUE(RIGHT($J$6:$U$6,2))), 0)</f>
      </c>
      <c r="AG183" s="71" cm="1">
        <f t="array" ref="AG183">IFERROR(_xlfn.FORECAST.LINEAR(RIGHT(AG$6,2), $J183:$U183, VALUE(RIGHT($J$6:$U$6,2))), 0)</f>
      </c>
      <c r="AH183" s="71" cm="1">
        <f t="array" ref="AH183">IFERROR(_xlfn.FORECAST.LINEAR(RIGHT(AH$6,2), $J183:$U183, VALUE(RIGHT($J$6:$U$6,2))), 0)</f>
      </c>
    </row>
    <row r="184" spans="3:34" x14ac:dyDescent="0.3">
      <c r="D184" s="12" t="str">
        <f>'Assumptions&amp;Scenario'!D29</f>
      </c>
      <c r="E184" s="19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Y184" s="71" cm="1">
        <f t="array" ref="Y184">IFERROR(_xlfn.FORECAST.LINEAR(RIGHT(Y$6,2), $J184:$U184, VALUE(RIGHT($J$6:$U$6,2))), 0)</f>
      </c>
      <c r="Z184" s="71" cm="1">
        <f t="array" ref="Z184">IFERROR(_xlfn.FORECAST.LINEAR(RIGHT(Z$6,2), $J184:$U184, VALUE(RIGHT($J$6:$U$6,2))), 0)</f>
      </c>
      <c r="AA184" s="71" cm="1">
        <f t="array" ref="AA184">IFERROR(_xlfn.FORECAST.LINEAR(RIGHT(AA$6,2), $J184:$U184, VALUE(RIGHT($J$6:$U$6,2))), 0)</f>
      </c>
      <c r="AB184" s="71" cm="1">
        <f t="array" ref="AB184">IFERROR(_xlfn.FORECAST.LINEAR(RIGHT(AB$6,2), $J184:$U184, VALUE(RIGHT($J$6:$U$6,2))), 0)</f>
      </c>
      <c r="AC184" s="71" cm="1">
        <f t="array" ref="AC184">IFERROR(_xlfn.FORECAST.LINEAR(RIGHT(AC$6,2), $J184:$U184, VALUE(RIGHT($J$6:$U$6,2))), 0)</f>
      </c>
      <c r="AD184" s="71" cm="1">
        <f t="array" ref="AD184">IFERROR(_xlfn.FORECAST.LINEAR(RIGHT(AD$6,2), $J184:$U184, VALUE(RIGHT($J$6:$U$6,2))), 0)</f>
      </c>
      <c r="AE184" s="71" cm="1">
        <f t="array" ref="AE184">IFERROR(_xlfn.FORECAST.LINEAR(RIGHT(AE$6,2), $J184:$U184, VALUE(RIGHT($J$6:$U$6,2))), 0)</f>
      </c>
      <c r="AF184" s="71" cm="1">
        <f t="array" ref="AF184">IFERROR(_xlfn.FORECAST.LINEAR(RIGHT(AF$6,2), $J184:$U184, VALUE(RIGHT($J$6:$U$6,2))), 0)</f>
      </c>
      <c r="AG184" s="71" cm="1">
        <f t="array" ref="AG184">IFERROR(_xlfn.FORECAST.LINEAR(RIGHT(AG$6,2), $J184:$U184, VALUE(RIGHT($J$6:$U$6,2))), 0)</f>
      </c>
      <c r="AH184" s="71" cm="1">
        <f t="array" ref="AH184">IFERROR(_xlfn.FORECAST.LINEAR(RIGHT(AH$6,2), $J184:$U184, VALUE(RIGHT($J$6:$U$6,2))), 0)</f>
      </c>
    </row>
    <row r="185" spans="3:34" x14ac:dyDescent="0.3">
      <c r="D185" s="12" t="str">
        <f>'Assumptions&amp;Scenario'!D30</f>
      </c>
      <c r="E185" s="19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Y185" s="71" cm="1">
        <f t="array" ref="Y185">IFERROR(_xlfn.FORECAST.LINEAR(RIGHT(Y$6,2), $J185:$U185, VALUE(RIGHT($J$6:$U$6,2))), 0)</f>
      </c>
      <c r="Z185" s="71" cm="1">
        <f t="array" ref="Z185">IFERROR(_xlfn.FORECAST.LINEAR(RIGHT(Z$6,2), $J185:$U185, VALUE(RIGHT($J$6:$U$6,2))), 0)</f>
      </c>
      <c r="AA185" s="71" cm="1">
        <f t="array" ref="AA185">IFERROR(_xlfn.FORECAST.LINEAR(RIGHT(AA$6,2), $J185:$U185, VALUE(RIGHT($J$6:$U$6,2))), 0)</f>
      </c>
      <c r="AB185" s="71" cm="1">
        <f t="array" ref="AB185">IFERROR(_xlfn.FORECAST.LINEAR(RIGHT(AB$6,2), $J185:$U185, VALUE(RIGHT($J$6:$U$6,2))), 0)</f>
      </c>
      <c r="AC185" s="71" cm="1">
        <f t="array" ref="AC185">IFERROR(_xlfn.FORECAST.LINEAR(RIGHT(AC$6,2), $J185:$U185, VALUE(RIGHT($J$6:$U$6,2))), 0)</f>
      </c>
      <c r="AD185" s="71" cm="1">
        <f t="array" ref="AD185">IFERROR(_xlfn.FORECAST.LINEAR(RIGHT(AD$6,2), $J185:$U185, VALUE(RIGHT($J$6:$U$6,2))), 0)</f>
      </c>
      <c r="AE185" s="71" cm="1">
        <f t="array" ref="AE185">IFERROR(_xlfn.FORECAST.LINEAR(RIGHT(AE$6,2), $J185:$U185, VALUE(RIGHT($J$6:$U$6,2))), 0)</f>
      </c>
      <c r="AF185" s="71" cm="1">
        <f t="array" ref="AF185">IFERROR(_xlfn.FORECAST.LINEAR(RIGHT(AF$6,2), $J185:$U185, VALUE(RIGHT($J$6:$U$6,2))), 0)</f>
      </c>
      <c r="AG185" s="71" cm="1">
        <f t="array" ref="AG185">IFERROR(_xlfn.FORECAST.LINEAR(RIGHT(AG$6,2), $J185:$U185, VALUE(RIGHT($J$6:$U$6,2))), 0)</f>
      </c>
      <c r="AH185" s="71" cm="1">
        <f t="array" ref="AH185">IFERROR(_xlfn.FORECAST.LINEAR(RIGHT(AH$6,2), $J185:$U185, VALUE(RIGHT($J$6:$U$6,2))), 0)</f>
      </c>
    </row>
    <row r="186" spans="3:34" x14ac:dyDescent="0.3">
      <c r="D186" s="2" t="s">
        <v>223</v>
      </c>
      <c r="E186" s="2"/>
      <c r="J186" s="90">
        <f t="shared" ref="J186:U186" si="227">SUM(J181:J185)</f>
      </c>
      <c r="K186" s="90">
        <f t="shared" si="227"/>
      </c>
      <c r="L186" s="90">
        <f t="shared" si="227"/>
      </c>
      <c r="M186" s="90">
        <f t="shared" si="227"/>
      </c>
      <c r="N186" s="90">
        <f t="shared" si="227"/>
      </c>
      <c r="O186" s="90">
        <f t="shared" si="227"/>
      </c>
      <c r="P186" s="90">
        <f t="shared" si="227"/>
      </c>
      <c r="Q186" s="90">
        <f t="shared" si="227"/>
      </c>
      <c r="R186" s="90">
        <f t="shared" si="227"/>
      </c>
      <c r="S186" s="90">
        <f t="shared" si="227"/>
      </c>
      <c r="T186" s="90">
        <f t="shared" si="227"/>
      </c>
      <c r="U186" s="90">
        <f t="shared" si="227"/>
      </c>
      <c r="Y186" s="90">
        <f t="shared" ref="Y186:AH186" si="228">SUM(Y181:Y185)</f>
      </c>
      <c r="Z186" s="90">
        <f t="shared" si="228"/>
      </c>
      <c r="AA186" s="90">
        <f t="shared" si="228"/>
      </c>
      <c r="AB186" s="90">
        <f t="shared" si="228"/>
      </c>
      <c r="AC186" s="90">
        <f t="shared" si="228"/>
      </c>
      <c r="AD186" s="90">
        <f t="shared" si="228"/>
      </c>
      <c r="AE186" s="90">
        <f t="shared" si="228"/>
      </c>
      <c r="AF186" s="90">
        <f t="shared" si="228"/>
      </c>
      <c r="AG186" s="90">
        <f t="shared" si="228"/>
      </c>
      <c r="AH186" s="90">
        <f t="shared" si="228"/>
      </c>
    </row>
    <row r="187" spans="3:34" ht="3" customHeight="1" x14ac:dyDescent="0.3"/>
    <row r="188" spans="3:34" x14ac:dyDescent="0.3">
      <c r="C188" s="2" t="s">
        <v>167</v>
      </c>
      <c r="D188" s="2"/>
      <c r="H188" s="77" t="str">
        <f>$H$10</f>
      </c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</row>
    <row r="189" spans="3:34" x14ac:dyDescent="0.3">
      <c r="D189" s="12" t="str">
        <f>'Assumptions&amp;Scenario'!P26</f>
      </c>
      <c r="E189" s="19"/>
      <c r="J189" s="56"/>
      <c r="K189" s="56"/>
      <c r="L189" s="56">
        <f>IFERROR('Data Sheet'!B22, 0)</f>
      </c>
      <c r="M189" s="56">
        <f>IFERROR('Data Sheet'!C22, 0)</f>
      </c>
      <c r="N189" s="56">
        <f>IFERROR('Data Sheet'!D22, 0)</f>
      </c>
      <c r="O189" s="56">
        <f>IFERROR('Data Sheet'!E22, 0)</f>
      </c>
      <c r="P189" s="56">
        <f>IFERROR('Data Sheet'!F22, 0)</f>
      </c>
      <c r="Q189" s="56">
        <f>IFERROR('Data Sheet'!G22, 0)</f>
      </c>
      <c r="R189" s="56">
        <f>IFERROR('Data Sheet'!H22, 0)</f>
      </c>
      <c r="S189" s="56">
        <f>IFERROR('Data Sheet'!I22, 0)</f>
      </c>
      <c r="T189" s="56">
        <f>IFERROR('Data Sheet'!J22, 0)</f>
      </c>
      <c r="U189" s="56">
        <f>IFERROR('Data Sheet'!K22, 0)</f>
      </c>
      <c r="Y189" s="71" cm="1">
        <f t="array" ref="Y189">IFERROR(_xlfn.FORECAST.LINEAR(RIGHT(Y$6,2), $J189:$U189, VALUE(RIGHT($J$6:$U$6,2))), 0)</f>
      </c>
      <c r="Z189" s="71" cm="1">
        <f t="array" ref="Z189">IFERROR(_xlfn.FORECAST.LINEAR(RIGHT(Z$6,2), $J189:$U189, VALUE(RIGHT($J$6:$U$6,2))), 0)</f>
      </c>
      <c r="AA189" s="71" cm="1">
        <f t="array" ref="AA189">IFERROR(_xlfn.FORECAST.LINEAR(RIGHT(AA$6,2), $J189:$U189, VALUE(RIGHT($J$6:$U$6,2))), 0)</f>
      </c>
      <c r="AB189" s="71" cm="1">
        <f t="array" ref="AB189">IFERROR(_xlfn.FORECAST.LINEAR(RIGHT(AB$6,2), $J189:$U189, VALUE(RIGHT($J$6:$U$6,2))), 0)</f>
      </c>
      <c r="AC189" s="71" cm="1">
        <f t="array" ref="AC189">IFERROR(_xlfn.FORECAST.LINEAR(RIGHT(AC$6,2), $J189:$U189, VALUE(RIGHT($J$6:$U$6,2))), 0)</f>
      </c>
      <c r="AD189" s="71" cm="1">
        <f t="array" ref="AD189">IFERROR(_xlfn.FORECAST.LINEAR(RIGHT(AD$6,2), $J189:$U189, VALUE(RIGHT($J$6:$U$6,2))), 0)</f>
      </c>
      <c r="AE189" s="71" cm="1">
        <f t="array" ref="AE189">IFERROR(_xlfn.FORECAST.LINEAR(RIGHT(AE$6,2), $J189:$U189, VALUE(RIGHT($J$6:$U$6,2))), 0)</f>
      </c>
      <c r="AF189" s="71" cm="1">
        <f t="array" ref="AF189">IFERROR(_xlfn.FORECAST.LINEAR(RIGHT(AF$6,2), $J189:$U189, VALUE(RIGHT($J$6:$U$6,2))), 0)</f>
      </c>
      <c r="AG189" s="71" cm="1">
        <f t="array" ref="AG189">IFERROR(_xlfn.FORECAST.LINEAR(RIGHT(AG$6,2), $J189:$U189, VALUE(RIGHT($J$6:$U$6,2))), 0)</f>
      </c>
      <c r="AH189" s="71" cm="1">
        <f t="array" ref="AH189">IFERROR(_xlfn.FORECAST.LINEAR(RIGHT(AH$6,2), $J189:$U189, VALUE(RIGHT($J$6:$U$6,2))), 0)</f>
      </c>
    </row>
    <row r="190" spans="3:34" x14ac:dyDescent="0.3">
      <c r="D190" s="12" t="str">
        <f>'Assumptions&amp;Scenario'!P27</f>
      </c>
      <c r="E190" s="19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Y190" s="71" cm="1">
        <f t="array" ref="Y190">IFERROR(_xlfn.FORECAST.LINEAR(RIGHT(Y$6,2), $J190:$U190, VALUE(RIGHT($J$6:$U$6,2))), 0)</f>
      </c>
      <c r="Z190" s="71" cm="1">
        <f t="array" ref="Z190">IFERROR(_xlfn.FORECAST.LINEAR(RIGHT(Z$6,2), $J190:$U190, VALUE(RIGHT($J$6:$U$6,2))), 0)</f>
      </c>
      <c r="AA190" s="71" cm="1">
        <f t="array" ref="AA190">IFERROR(_xlfn.FORECAST.LINEAR(RIGHT(AA$6,2), $J190:$U190, VALUE(RIGHT($J$6:$U$6,2))), 0)</f>
      </c>
      <c r="AB190" s="71" cm="1">
        <f t="array" ref="AB190">IFERROR(_xlfn.FORECAST.LINEAR(RIGHT(AB$6,2), $J190:$U190, VALUE(RIGHT($J$6:$U$6,2))), 0)</f>
      </c>
      <c r="AC190" s="71" cm="1">
        <f t="array" ref="AC190">IFERROR(_xlfn.FORECAST.LINEAR(RIGHT(AC$6,2), $J190:$U190, VALUE(RIGHT($J$6:$U$6,2))), 0)</f>
      </c>
      <c r="AD190" s="71" cm="1">
        <f t="array" ref="AD190">IFERROR(_xlfn.FORECAST.LINEAR(RIGHT(AD$6,2), $J190:$U190, VALUE(RIGHT($J$6:$U$6,2))), 0)</f>
      </c>
      <c r="AE190" s="71" cm="1">
        <f t="array" ref="AE190">IFERROR(_xlfn.FORECAST.LINEAR(RIGHT(AE$6,2), $J190:$U190, VALUE(RIGHT($J$6:$U$6,2))), 0)</f>
      </c>
      <c r="AF190" s="71" cm="1">
        <f t="array" ref="AF190">IFERROR(_xlfn.FORECAST.LINEAR(RIGHT(AF$6,2), $J190:$U190, VALUE(RIGHT($J$6:$U$6,2))), 0)</f>
      </c>
      <c r="AG190" s="71" cm="1">
        <f t="array" ref="AG190">IFERROR(_xlfn.FORECAST.LINEAR(RIGHT(AG$6,2), $J190:$U190, VALUE(RIGHT($J$6:$U$6,2))), 0)</f>
      </c>
      <c r="AH190" s="71" cm="1">
        <f t="array" ref="AH190">IFERROR(_xlfn.FORECAST.LINEAR(RIGHT(AH$6,2), $J190:$U190, VALUE(RIGHT($J$6:$U$6,2))), 0)</f>
      </c>
    </row>
    <row r="191" spans="3:34" x14ac:dyDescent="0.3">
      <c r="D191" s="12" t="str">
        <f>'Assumptions&amp;Scenario'!P28</f>
      </c>
      <c r="E191" s="19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Y191" s="71" cm="1">
        <f t="array" ref="Y191">IFERROR(_xlfn.FORECAST.LINEAR(RIGHT(Y$6,2), $J191:$U191, VALUE(RIGHT($J$6:$U$6,2))), 0)</f>
      </c>
      <c r="Z191" s="71" cm="1">
        <f t="array" ref="Z191">IFERROR(_xlfn.FORECAST.LINEAR(RIGHT(Z$6,2), $J191:$U191, VALUE(RIGHT($J$6:$U$6,2))), 0)</f>
      </c>
      <c r="AA191" s="71" cm="1">
        <f t="array" ref="AA191">IFERROR(_xlfn.FORECAST.LINEAR(RIGHT(AA$6,2), $J191:$U191, VALUE(RIGHT($J$6:$U$6,2))), 0)</f>
      </c>
      <c r="AB191" s="71" cm="1">
        <f t="array" ref="AB191">IFERROR(_xlfn.FORECAST.LINEAR(RIGHT(AB$6,2), $J191:$U191, VALUE(RIGHT($J$6:$U$6,2))), 0)</f>
      </c>
      <c r="AC191" s="71" cm="1">
        <f t="array" ref="AC191">IFERROR(_xlfn.FORECAST.LINEAR(RIGHT(AC$6,2), $J191:$U191, VALUE(RIGHT($J$6:$U$6,2))), 0)</f>
      </c>
      <c r="AD191" s="71" cm="1">
        <f t="array" ref="AD191">IFERROR(_xlfn.FORECAST.LINEAR(RIGHT(AD$6,2), $J191:$U191, VALUE(RIGHT($J$6:$U$6,2))), 0)</f>
      </c>
      <c r="AE191" s="71" cm="1">
        <f t="array" ref="AE191">IFERROR(_xlfn.FORECAST.LINEAR(RIGHT(AE$6,2), $J191:$U191, VALUE(RIGHT($J$6:$U$6,2))), 0)</f>
      </c>
      <c r="AF191" s="71" cm="1">
        <f t="array" ref="AF191">IFERROR(_xlfn.FORECAST.LINEAR(RIGHT(AF$6,2), $J191:$U191, VALUE(RIGHT($J$6:$U$6,2))), 0)</f>
      </c>
      <c r="AG191" s="71" cm="1">
        <f t="array" ref="AG191">IFERROR(_xlfn.FORECAST.LINEAR(RIGHT(AG$6,2), $J191:$U191, VALUE(RIGHT($J$6:$U$6,2))), 0)</f>
      </c>
      <c r="AH191" s="71" cm="1">
        <f t="array" ref="AH191">IFERROR(_xlfn.FORECAST.LINEAR(RIGHT(AH$6,2), $J191:$U191, VALUE(RIGHT($J$6:$U$6,2))), 0)</f>
      </c>
    </row>
    <row r="192" spans="3:34" x14ac:dyDescent="0.3">
      <c r="D192" s="12" t="str">
        <f>'Assumptions&amp;Scenario'!P29</f>
      </c>
      <c r="E192" s="19"/>
      <c r="J192" s="56"/>
      <c r="K192" s="56"/>
      <c r="L192" s="56">
        <f>IFERROR('Data Sheet'!B23, 0)</f>
      </c>
      <c r="M192" s="56">
        <f>IFERROR('Data Sheet'!C23, 0)</f>
      </c>
      <c r="N192" s="56">
        <f>IFERROR('Data Sheet'!D23, 0)</f>
      </c>
      <c r="O192" s="56">
        <f>IFERROR('Data Sheet'!E23, 0)</f>
      </c>
      <c r="P192" s="56">
        <f>IFERROR('Data Sheet'!F23, 0)</f>
      </c>
      <c r="Q192" s="56">
        <f>IFERROR('Data Sheet'!G23, 0)</f>
      </c>
      <c r="R192" s="56">
        <f>IFERROR('Data Sheet'!H23, 0)</f>
      </c>
      <c r="S192" s="56">
        <f>IFERROR('Data Sheet'!I23, 0)</f>
      </c>
      <c r="T192" s="56">
        <f>IFERROR('Data Sheet'!J23, 0)</f>
      </c>
      <c r="U192" s="56">
        <f>IFERROR('Data Sheet'!K23, 0)</f>
      </c>
      <c r="Y192" s="71" cm="1">
        <f t="array" ref="Y192">IFERROR(_xlfn.FORECAST.LINEAR(RIGHT(Y$6,2), $J192:$U192, VALUE(RIGHT($J$6:$U$6,2))), 0)</f>
      </c>
      <c r="Z192" s="71" cm="1">
        <f t="array" ref="Z192">IFERROR(_xlfn.FORECAST.LINEAR(RIGHT(Z$6,2), $J192:$U192, VALUE(RIGHT($J$6:$U$6,2))), 0)</f>
      </c>
      <c r="AA192" s="71" cm="1">
        <f t="array" ref="AA192">IFERROR(_xlfn.FORECAST.LINEAR(RIGHT(AA$6,2), $J192:$U192, VALUE(RIGHT($J$6:$U$6,2))), 0)</f>
      </c>
      <c r="AB192" s="71" cm="1">
        <f t="array" ref="AB192">IFERROR(_xlfn.FORECAST.LINEAR(RIGHT(AB$6,2), $J192:$U192, VALUE(RIGHT($J$6:$U$6,2))), 0)</f>
      </c>
      <c r="AC192" s="71" cm="1">
        <f t="array" ref="AC192">IFERROR(_xlfn.FORECAST.LINEAR(RIGHT(AC$6,2), $J192:$U192, VALUE(RIGHT($J$6:$U$6,2))), 0)</f>
      </c>
      <c r="AD192" s="71" cm="1">
        <f t="array" ref="AD192">IFERROR(_xlfn.FORECAST.LINEAR(RIGHT(AD$6,2), $J192:$U192, VALUE(RIGHT($J$6:$U$6,2))), 0)</f>
      </c>
      <c r="AE192" s="71" cm="1">
        <f t="array" ref="AE192">IFERROR(_xlfn.FORECAST.LINEAR(RIGHT(AE$6,2), $J192:$U192, VALUE(RIGHT($J$6:$U$6,2))), 0)</f>
      </c>
      <c r="AF192" s="71" cm="1">
        <f t="array" ref="AF192">IFERROR(_xlfn.FORECAST.LINEAR(RIGHT(AF$6,2), $J192:$U192, VALUE(RIGHT($J$6:$U$6,2))), 0)</f>
      </c>
      <c r="AG192" s="71" cm="1">
        <f t="array" ref="AG192">IFERROR(_xlfn.FORECAST.LINEAR(RIGHT(AG$6,2), $J192:$U192, VALUE(RIGHT($J$6:$U$6,2))), 0)</f>
      </c>
      <c r="AH192" s="71" cm="1">
        <f t="array" ref="AH192">IFERROR(_xlfn.FORECAST.LINEAR(RIGHT(AH$6,2), $J192:$U192, VALUE(RIGHT($J$6:$U$6,2))), 0)</f>
      </c>
    </row>
    <row r="193" spans="3:34" x14ac:dyDescent="0.3">
      <c r="D193" s="12" t="str">
        <f>'Assumptions&amp;Scenario'!P30</f>
      </c>
      <c r="E193" s="19"/>
      <c r="J193" s="56"/>
      <c r="K193" s="56"/>
      <c r="L193" s="56">
        <f>IFERROR('Data Sheet'!B24, 0)</f>
      </c>
      <c r="M193" s="56">
        <f>IFERROR('Data Sheet'!C24, 0)</f>
      </c>
      <c r="N193" s="56">
        <f>IFERROR('Data Sheet'!D24, 0)</f>
      </c>
      <c r="O193" s="56">
        <f>IFERROR('Data Sheet'!E24, 0)</f>
      </c>
      <c r="P193" s="56">
        <f>IFERROR('Data Sheet'!F24, 0)</f>
      </c>
      <c r="Q193" s="56">
        <f>IFERROR('Data Sheet'!G24, 0)</f>
      </c>
      <c r="R193" s="56">
        <f>IFERROR('Data Sheet'!H24, 0)</f>
      </c>
      <c r="S193" s="56">
        <f>IFERROR('Data Sheet'!I24, 0)</f>
      </c>
      <c r="T193" s="56">
        <f>IFERROR('Data Sheet'!J24, 0)</f>
      </c>
      <c r="U193" s="56">
        <f>IFERROR('Data Sheet'!K24, 0)</f>
      </c>
      <c r="Y193" s="71" cm="1">
        <f t="array" ref="Y193">IFERROR(_xlfn.FORECAST.LINEAR(RIGHT(Y$6,2), $J193:$U193, VALUE(RIGHT($J$6:$U$6,2))), 0)</f>
      </c>
      <c r="Z193" s="71" cm="1">
        <f t="array" ref="Z193">IFERROR(_xlfn.FORECAST.LINEAR(RIGHT(Z$6,2), $J193:$U193, VALUE(RIGHT($J$6:$U$6,2))), 0)</f>
      </c>
      <c r="AA193" s="71" cm="1">
        <f t="array" ref="AA193">IFERROR(_xlfn.FORECAST.LINEAR(RIGHT(AA$6,2), $J193:$U193, VALUE(RIGHT($J$6:$U$6,2))), 0)</f>
      </c>
      <c r="AB193" s="71" cm="1">
        <f t="array" ref="AB193">IFERROR(_xlfn.FORECAST.LINEAR(RIGHT(AB$6,2), $J193:$U193, VALUE(RIGHT($J$6:$U$6,2))), 0)</f>
      </c>
      <c r="AC193" s="71" cm="1">
        <f t="array" ref="AC193">IFERROR(_xlfn.FORECAST.LINEAR(RIGHT(AC$6,2), $J193:$U193, VALUE(RIGHT($J$6:$U$6,2))), 0)</f>
      </c>
      <c r="AD193" s="71" cm="1">
        <f t="array" ref="AD193">IFERROR(_xlfn.FORECAST.LINEAR(RIGHT(AD$6,2), $J193:$U193, VALUE(RIGHT($J$6:$U$6,2))), 0)</f>
      </c>
      <c r="AE193" s="71" cm="1">
        <f t="array" ref="AE193">IFERROR(_xlfn.FORECAST.LINEAR(RIGHT(AE$6,2), $J193:$U193, VALUE(RIGHT($J$6:$U$6,2))), 0)</f>
      </c>
      <c r="AF193" s="71" cm="1">
        <f t="array" ref="AF193">IFERROR(_xlfn.FORECAST.LINEAR(RIGHT(AF$6,2), $J193:$U193, VALUE(RIGHT($J$6:$U$6,2))), 0)</f>
      </c>
      <c r="AG193" s="71" cm="1">
        <f t="array" ref="AG193">IFERROR(_xlfn.FORECAST.LINEAR(RIGHT(AG$6,2), $J193:$U193, VALUE(RIGHT($J$6:$U$6,2))), 0)</f>
      </c>
      <c r="AH193" s="71" cm="1">
        <f t="array" ref="AH193">IFERROR(_xlfn.FORECAST.LINEAR(RIGHT(AH$6,2), $J193:$U193, VALUE(RIGHT($J$6:$U$6,2))), 0)</f>
      </c>
    </row>
    <row r="194" spans="3:34" ht="15" thickBot="1" x14ac:dyDescent="0.35">
      <c r="D194" s="2" t="s">
        <v>224</v>
      </c>
      <c r="E194" s="2"/>
      <c r="J194" s="90">
        <f t="shared" ref="J194:U194" si="229">SUM(J189:J193)</f>
      </c>
      <c r="K194" s="90">
        <f t="shared" si="229"/>
      </c>
      <c r="L194" s="90">
        <f t="shared" si="229"/>
      </c>
      <c r="M194" s="90">
        <f t="shared" si="229"/>
      </c>
      <c r="N194" s="90">
        <f t="shared" si="229"/>
      </c>
      <c r="O194" s="90">
        <f t="shared" si="229"/>
      </c>
      <c r="P194" s="90">
        <f t="shared" si="229"/>
      </c>
      <c r="Q194" s="90">
        <f t="shared" si="229"/>
      </c>
      <c r="R194" s="90">
        <f t="shared" si="229"/>
      </c>
      <c r="S194" s="90">
        <f t="shared" si="229"/>
      </c>
      <c r="T194" s="90">
        <f t="shared" si="229"/>
      </c>
      <c r="U194" s="90">
        <f t="shared" si="229"/>
      </c>
      <c r="Y194" s="90">
        <f t="shared" ref="Y194:AH194" si="230">SUM(Y189:Y193)</f>
      </c>
      <c r="Z194" s="90">
        <f t="shared" si="230"/>
      </c>
      <c r="AA194" s="90">
        <f t="shared" si="230"/>
      </c>
      <c r="AB194" s="90">
        <f t="shared" si="230"/>
      </c>
      <c r="AC194" s="90">
        <f t="shared" si="230"/>
      </c>
      <c r="AD194" s="90">
        <f t="shared" si="230"/>
      </c>
      <c r="AE194" s="90">
        <f t="shared" si="230"/>
      </c>
      <c r="AF194" s="90">
        <f t="shared" si="230"/>
      </c>
      <c r="AG194" s="90">
        <f t="shared" si="230"/>
      </c>
      <c r="AH194" s="90">
        <f t="shared" si="230"/>
      </c>
    </row>
    <row r="195" spans="3:34" ht="15" thickBot="1" x14ac:dyDescent="0.35">
      <c r="C195" s="2" t="s">
        <v>220</v>
      </c>
      <c r="D195" s="2"/>
      <c r="J195" s="110">
        <f t="shared" ref="J195:U195" si="231">J194+J186</f>
      </c>
      <c r="K195" s="110">
        <f t="shared" si="231"/>
      </c>
      <c r="L195" s="110">
        <f t="shared" si="231"/>
      </c>
      <c r="M195" s="110">
        <f t="shared" si="231"/>
      </c>
      <c r="N195" s="110">
        <f t="shared" si="231"/>
      </c>
      <c r="O195" s="110">
        <f t="shared" si="231"/>
      </c>
      <c r="P195" s="110">
        <f t="shared" si="231"/>
      </c>
      <c r="Q195" s="110">
        <f t="shared" si="231"/>
      </c>
      <c r="R195" s="110">
        <f t="shared" si="231"/>
      </c>
      <c r="S195" s="110">
        <f t="shared" si="231"/>
      </c>
      <c r="T195" s="110">
        <f t="shared" si="231"/>
      </c>
      <c r="U195" s="110">
        <f t="shared" si="231"/>
      </c>
      <c r="Y195" s="110">
        <f t="shared" ref="Y195:AH195" si="232">Y194+Y186</f>
      </c>
      <c r="Z195" s="110">
        <f t="shared" si="232"/>
      </c>
      <c r="AA195" s="110">
        <f t="shared" si="232"/>
      </c>
      <c r="AB195" s="110">
        <f t="shared" si="232"/>
      </c>
      <c r="AC195" s="110">
        <f t="shared" si="232"/>
      </c>
      <c r="AD195" s="110">
        <f t="shared" si="232"/>
      </c>
      <c r="AE195" s="110">
        <f t="shared" si="232"/>
      </c>
      <c r="AF195" s="110">
        <f t="shared" si="232"/>
      </c>
      <c r="AG195" s="110">
        <f t="shared" si="232"/>
      </c>
      <c r="AH195" s="110">
        <f t="shared" si="232"/>
      </c>
    </row>
    <row r="196" spans="3:34" ht="15" thickTop="1" x14ac:dyDescent="0.3">
      <c r="D196" s="78" t="s">
        <v>225</v>
      </c>
      <c r="K196" s="85">
        <f t="shared" ref="K196:T196" si="233">IFERROR(K195/J195-1, 0)</f>
      </c>
      <c r="L196" s="85">
        <f t="shared" si="233"/>
      </c>
      <c r="M196" s="85">
        <f t="shared" si="233"/>
      </c>
      <c r="N196" s="85">
        <f t="shared" si="233"/>
      </c>
      <c r="O196" s="85">
        <f t="shared" si="233"/>
      </c>
      <c r="P196" s="85">
        <f t="shared" si="233"/>
      </c>
      <c r="Q196" s="85">
        <f t="shared" si="233"/>
      </c>
      <c r="R196" s="85">
        <f t="shared" si="233"/>
      </c>
      <c r="S196" s="85">
        <f t="shared" si="233"/>
      </c>
      <c r="T196" s="85">
        <f t="shared" si="233"/>
      </c>
      <c r="U196" s="85">
        <f>IFERROR(U195/T195-1, 0)</f>
      </c>
      <c r="Y196" s="85">
        <f>IFERROR(Y195/U195-1, 0)</f>
      </c>
      <c r="Z196" s="85">
        <f t="shared" ref="Z196:AG196" si="234">IFERROR(Z195/Y195-1, 0)</f>
      </c>
      <c r="AA196" s="85">
        <f t="shared" si="234"/>
      </c>
      <c r="AB196" s="85">
        <f t="shared" si="234"/>
      </c>
      <c r="AC196" s="85">
        <f t="shared" si="234"/>
      </c>
      <c r="AD196" s="85">
        <f t="shared" si="234"/>
      </c>
      <c r="AE196" s="85">
        <f t="shared" si="234"/>
      </c>
      <c r="AF196" s="85">
        <f t="shared" si="234"/>
      </c>
      <c r="AG196" s="85">
        <f t="shared" si="234"/>
      </c>
      <c r="AH196" s="85">
        <f>IFERROR(AH195/AG195-1, 0)</f>
      </c>
    </row>
    <row r="198" spans="3:34" x14ac:dyDescent="0.3">
      <c r="C198" s="2" t="s">
        <v>166</v>
      </c>
      <c r="H198" s="77" t="str">
        <f>'Assumptions&amp;Scenario'!$K$44</f>
      </c>
    </row>
    <row r="199" spans="3:34" x14ac:dyDescent="0.3">
      <c r="D199" s="12" t="str">
        <f>D181</f>
      </c>
      <c r="E199" s="19"/>
      <c r="J199" s="71">
        <f t="shared" ref="J199:U199" si="235">IFERROR(J181*$H$178/J$178, 0)</f>
      </c>
      <c r="K199" s="71">
        <f t="shared" si="235"/>
      </c>
      <c r="L199" s="71">
        <f t="shared" si="235"/>
      </c>
      <c r="M199" s="71">
        <f t="shared" si="235"/>
      </c>
      <c r="N199" s="71">
        <f t="shared" si="235"/>
      </c>
      <c r="O199" s="71">
        <f t="shared" si="235"/>
      </c>
      <c r="P199" s="71">
        <f t="shared" si="235"/>
      </c>
      <c r="Q199" s="71">
        <f t="shared" si="235"/>
      </c>
      <c r="R199" s="71">
        <f t="shared" si="235"/>
      </c>
      <c r="S199" s="71">
        <f t="shared" si="235"/>
      </c>
      <c r="T199" s="71">
        <f t="shared" si="235"/>
      </c>
      <c r="U199" s="71">
        <f t="shared" si="235"/>
      </c>
      <c r="Y199" s="71">
        <f t="shared" ref="Y199:AH199" si="236">IFERROR(Y181*$H$178/Y$178, 0)</f>
      </c>
      <c r="Z199" s="71">
        <f t="shared" si="236"/>
      </c>
      <c r="AA199" s="71">
        <f t="shared" si="236"/>
      </c>
      <c r="AB199" s="71">
        <f t="shared" si="236"/>
      </c>
      <c r="AC199" s="71">
        <f t="shared" si="236"/>
      </c>
      <c r="AD199" s="71">
        <f t="shared" si="236"/>
      </c>
      <c r="AE199" s="71">
        <f t="shared" si="236"/>
      </c>
      <c r="AF199" s="71">
        <f t="shared" si="236"/>
      </c>
      <c r="AG199" s="71">
        <f t="shared" si="236"/>
      </c>
      <c r="AH199" s="71">
        <f t="shared" si="236"/>
      </c>
    </row>
    <row r="200" spans="3:34" x14ac:dyDescent="0.3">
      <c r="D200" s="12" t="str">
        <f>D182</f>
      </c>
      <c r="E200" s="19"/>
      <c r="J200" s="71">
        <f t="shared" ref="J200:U200" si="237">IFERROR(J182*$H$178/J$178, 0)</f>
      </c>
      <c r="K200" s="71">
        <f t="shared" si="237"/>
      </c>
      <c r="L200" s="71">
        <f t="shared" si="237"/>
      </c>
      <c r="M200" s="71">
        <f t="shared" si="237"/>
      </c>
      <c r="N200" s="71">
        <f t="shared" si="237"/>
      </c>
      <c r="O200" s="71">
        <f t="shared" si="237"/>
      </c>
      <c r="P200" s="71">
        <f t="shared" si="237"/>
      </c>
      <c r="Q200" s="71">
        <f t="shared" si="237"/>
      </c>
      <c r="R200" s="71">
        <f t="shared" si="237"/>
      </c>
      <c r="S200" s="71">
        <f t="shared" si="237"/>
      </c>
      <c r="T200" s="71">
        <f t="shared" si="237"/>
      </c>
      <c r="U200" s="71">
        <f t="shared" si="237"/>
      </c>
      <c r="Y200" s="71">
        <f t="shared" ref="Y200:AH200" si="238">IFERROR(Y182*$H$178/Y$178, 0)</f>
      </c>
      <c r="Z200" s="71">
        <f t="shared" si="238"/>
      </c>
      <c r="AA200" s="71">
        <f t="shared" si="238"/>
      </c>
      <c r="AB200" s="71">
        <f t="shared" si="238"/>
      </c>
      <c r="AC200" s="71">
        <f t="shared" si="238"/>
      </c>
      <c r="AD200" s="71">
        <f t="shared" si="238"/>
      </c>
      <c r="AE200" s="71">
        <f t="shared" si="238"/>
      </c>
      <c r="AF200" s="71">
        <f t="shared" si="238"/>
      </c>
      <c r="AG200" s="71">
        <f t="shared" si="238"/>
      </c>
      <c r="AH200" s="71">
        <f t="shared" si="238"/>
      </c>
    </row>
    <row r="201" spans="3:34" x14ac:dyDescent="0.3">
      <c r="D201" s="12" t="str">
        <f>D183</f>
      </c>
      <c r="E201" s="19"/>
      <c r="J201" s="71">
        <f t="shared" ref="J201:U201" si="239">IFERROR(J183*$H$178/J$178, 0)</f>
      </c>
      <c r="K201" s="71">
        <f t="shared" si="239"/>
      </c>
      <c r="L201" s="71">
        <f t="shared" si="239"/>
      </c>
      <c r="M201" s="71">
        <f t="shared" si="239"/>
      </c>
      <c r="N201" s="71">
        <f t="shared" si="239"/>
      </c>
      <c r="O201" s="71">
        <f t="shared" si="239"/>
      </c>
      <c r="P201" s="71">
        <f t="shared" si="239"/>
      </c>
      <c r="Q201" s="71">
        <f t="shared" si="239"/>
      </c>
      <c r="R201" s="71">
        <f t="shared" si="239"/>
      </c>
      <c r="S201" s="71">
        <f t="shared" si="239"/>
      </c>
      <c r="T201" s="71">
        <f t="shared" si="239"/>
      </c>
      <c r="U201" s="71">
        <f t="shared" si="239"/>
      </c>
      <c r="Y201" s="71">
        <f t="shared" ref="Y201:AH201" si="240">IFERROR(Y183*$H$178/Y$178, 0)</f>
      </c>
      <c r="Z201" s="71">
        <f t="shared" si="240"/>
      </c>
      <c r="AA201" s="71">
        <f t="shared" si="240"/>
      </c>
      <c r="AB201" s="71">
        <f t="shared" si="240"/>
      </c>
      <c r="AC201" s="71">
        <f t="shared" si="240"/>
      </c>
      <c r="AD201" s="71">
        <f t="shared" si="240"/>
      </c>
      <c r="AE201" s="71">
        <f t="shared" si="240"/>
      </c>
      <c r="AF201" s="71">
        <f t="shared" si="240"/>
      </c>
      <c r="AG201" s="71">
        <f t="shared" si="240"/>
      </c>
      <c r="AH201" s="71">
        <f t="shared" si="240"/>
      </c>
    </row>
    <row r="202" spans="3:34" x14ac:dyDescent="0.3">
      <c r="D202" s="12" t="str">
        <f>D184</f>
      </c>
      <c r="E202" s="19"/>
      <c r="J202" s="71">
        <f t="shared" ref="J202:U202" si="241">IFERROR(J184*$H$178/J$178, 0)</f>
      </c>
      <c r="K202" s="71">
        <f t="shared" si="241"/>
      </c>
      <c r="L202" s="71">
        <f t="shared" si="241"/>
      </c>
      <c r="M202" s="71">
        <f t="shared" si="241"/>
      </c>
      <c r="N202" s="71">
        <f t="shared" si="241"/>
      </c>
      <c r="O202" s="71">
        <f t="shared" si="241"/>
      </c>
      <c r="P202" s="71">
        <f t="shared" si="241"/>
      </c>
      <c r="Q202" s="71">
        <f t="shared" si="241"/>
      </c>
      <c r="R202" s="71">
        <f t="shared" si="241"/>
      </c>
      <c r="S202" s="71">
        <f t="shared" si="241"/>
      </c>
      <c r="T202" s="71">
        <f t="shared" si="241"/>
      </c>
      <c r="U202" s="71">
        <f t="shared" si="241"/>
      </c>
      <c r="Y202" s="71">
        <f t="shared" ref="Y202:AH202" si="242">IFERROR(Y184*$H$178/Y$178, 0)</f>
      </c>
      <c r="Z202" s="71">
        <f t="shared" si="242"/>
      </c>
      <c r="AA202" s="71">
        <f t="shared" si="242"/>
      </c>
      <c r="AB202" s="71">
        <f t="shared" si="242"/>
      </c>
      <c r="AC202" s="71">
        <f t="shared" si="242"/>
      </c>
      <c r="AD202" s="71">
        <f t="shared" si="242"/>
      </c>
      <c r="AE202" s="71">
        <f t="shared" si="242"/>
      </c>
      <c r="AF202" s="71">
        <f t="shared" si="242"/>
      </c>
      <c r="AG202" s="71">
        <f t="shared" si="242"/>
      </c>
      <c r="AH202" s="71">
        <f t="shared" si="242"/>
      </c>
    </row>
    <row r="203" spans="3:34" x14ac:dyDescent="0.3">
      <c r="D203" s="12" t="str">
        <f>D185</f>
      </c>
      <c r="E203" s="19"/>
      <c r="J203" s="71">
        <f t="shared" ref="J203:U203" si="243">IFERROR(J185*$H$178/J$178, 0)</f>
      </c>
      <c r="K203" s="71">
        <f t="shared" si="243"/>
      </c>
      <c r="L203" s="71">
        <f t="shared" si="243"/>
      </c>
      <c r="M203" s="71">
        <f t="shared" si="243"/>
      </c>
      <c r="N203" s="71">
        <f t="shared" si="243"/>
      </c>
      <c r="O203" s="71">
        <f t="shared" si="243"/>
      </c>
      <c r="P203" s="71">
        <f t="shared" si="243"/>
      </c>
      <c r="Q203" s="71">
        <f t="shared" si="243"/>
      </c>
      <c r="R203" s="71">
        <f t="shared" si="243"/>
      </c>
      <c r="S203" s="71">
        <f t="shared" si="243"/>
      </c>
      <c r="T203" s="71">
        <f t="shared" si="243"/>
      </c>
      <c r="U203" s="71">
        <f t="shared" si="243"/>
      </c>
      <c r="Y203" s="71">
        <f t="shared" ref="Y203:AH203" si="244">IFERROR(Y185*$H$178/Y$178, 0)</f>
      </c>
      <c r="Z203" s="71">
        <f t="shared" si="244"/>
      </c>
      <c r="AA203" s="71">
        <f t="shared" si="244"/>
      </c>
      <c r="AB203" s="71">
        <f t="shared" si="244"/>
      </c>
      <c r="AC203" s="71">
        <f t="shared" si="244"/>
      </c>
      <c r="AD203" s="71">
        <f t="shared" si="244"/>
      </c>
      <c r="AE203" s="71">
        <f t="shared" si="244"/>
      </c>
      <c r="AF203" s="71">
        <f t="shared" si="244"/>
      </c>
      <c r="AG203" s="71">
        <f t="shared" si="244"/>
      </c>
      <c r="AH203" s="71">
        <f t="shared" si="244"/>
      </c>
    </row>
    <row r="204" spans="3:34" x14ac:dyDescent="0.3">
      <c r="D204" s="2" t="s">
        <v>222</v>
      </c>
      <c r="E204" s="2"/>
      <c r="J204" s="90">
        <f t="shared" ref="J204:U204" si="245">SUM(J199:J203)</f>
      </c>
      <c r="K204" s="90">
        <f t="shared" si="245"/>
      </c>
      <c r="L204" s="90">
        <f t="shared" si="245"/>
      </c>
      <c r="M204" s="90">
        <f t="shared" si="245"/>
      </c>
      <c r="N204" s="90">
        <f t="shared" si="245"/>
      </c>
      <c r="O204" s="90">
        <f t="shared" si="245"/>
      </c>
      <c r="P204" s="90">
        <f t="shared" si="245"/>
      </c>
      <c r="Q204" s="90">
        <f t="shared" si="245"/>
      </c>
      <c r="R204" s="90">
        <f t="shared" si="245"/>
      </c>
      <c r="S204" s="90">
        <f t="shared" si="245"/>
      </c>
      <c r="T204" s="90">
        <f t="shared" si="245"/>
      </c>
      <c r="U204" s="90">
        <f t="shared" si="245"/>
      </c>
      <c r="Y204" s="90">
        <f t="shared" ref="Y204:AH204" si="246">SUM(Y199:Y203)</f>
      </c>
      <c r="Z204" s="90">
        <f t="shared" si="246"/>
      </c>
      <c r="AA204" s="90">
        <f t="shared" si="246"/>
      </c>
      <c r="AB204" s="90">
        <f t="shared" si="246"/>
      </c>
      <c r="AC204" s="90">
        <f t="shared" si="246"/>
      </c>
      <c r="AD204" s="90">
        <f t="shared" si="246"/>
      </c>
      <c r="AE204" s="90">
        <f t="shared" si="246"/>
      </c>
      <c r="AF204" s="90">
        <f t="shared" si="246"/>
      </c>
      <c r="AG204" s="90">
        <f t="shared" si="246"/>
      </c>
      <c r="AH204" s="90">
        <f t="shared" si="246"/>
      </c>
    </row>
    <row r="205" spans="3:34" ht="3" customHeight="1" x14ac:dyDescent="0.3"/>
    <row r="206" spans="3:34" x14ac:dyDescent="0.3">
      <c r="C206" s="2" t="s">
        <v>378</v>
      </c>
      <c r="D206" s="2"/>
      <c r="H206" s="77" t="str">
        <f>'Assumptions&amp;Scenario'!$K$44</f>
      </c>
    </row>
    <row r="207" spans="3:34" x14ac:dyDescent="0.3">
      <c r="D207" s="12" t="str">
        <f>D189</f>
      </c>
      <c r="E207" s="19"/>
      <c r="J207" s="71">
        <f>IFERROR(J189*$H$178/J$178, 0)</f>
      </c>
      <c r="K207" s="71">
        <f t="shared" ref="K207:U207" si="247">IFERROR(K189*$H$178/K$178, 0)</f>
      </c>
      <c r="L207" s="71">
        <f t="shared" si="247"/>
      </c>
      <c r="M207" s="71">
        <f t="shared" si="247"/>
      </c>
      <c r="N207" s="71">
        <f t="shared" si="247"/>
      </c>
      <c r="O207" s="71">
        <f t="shared" si="247"/>
      </c>
      <c r="P207" s="71">
        <f t="shared" si="247"/>
      </c>
      <c r="Q207" s="71">
        <f t="shared" si="247"/>
      </c>
      <c r="R207" s="71">
        <f t="shared" si="247"/>
      </c>
      <c r="S207" s="71">
        <f t="shared" si="247"/>
      </c>
      <c r="T207" s="71">
        <f t="shared" si="247"/>
      </c>
      <c r="U207" s="71">
        <f t="shared" si="247"/>
      </c>
      <c r="Y207" s="71">
        <f t="shared" ref="Y207:AH207" si="248">IFERROR(Y189*$H$178/Y$178, 0)</f>
      </c>
      <c r="Z207" s="71">
        <f t="shared" si="248"/>
      </c>
      <c r="AA207" s="71">
        <f t="shared" si="248"/>
      </c>
      <c r="AB207" s="71">
        <f t="shared" si="248"/>
      </c>
      <c r="AC207" s="71">
        <f t="shared" si="248"/>
      </c>
      <c r="AD207" s="71">
        <f t="shared" si="248"/>
      </c>
      <c r="AE207" s="71">
        <f t="shared" si="248"/>
      </c>
      <c r="AF207" s="71">
        <f t="shared" si="248"/>
      </c>
      <c r="AG207" s="71">
        <f t="shared" si="248"/>
      </c>
      <c r="AH207" s="71">
        <f t="shared" si="248"/>
      </c>
    </row>
    <row r="208" spans="3:34" x14ac:dyDescent="0.3">
      <c r="D208" s="12" t="str">
        <f>D190</f>
      </c>
      <c r="E208" s="19"/>
      <c r="J208" s="71">
        <f t="shared" ref="J208:U208" si="249">IFERROR(J190*$H$178/J$178, 0)</f>
      </c>
      <c r="K208" s="71">
        <f t="shared" si="249"/>
      </c>
      <c r="L208" s="71">
        <f t="shared" si="249"/>
      </c>
      <c r="M208" s="71">
        <f t="shared" si="249"/>
      </c>
      <c r="N208" s="71">
        <f t="shared" si="249"/>
      </c>
      <c r="O208" s="71">
        <f t="shared" si="249"/>
      </c>
      <c r="P208" s="71">
        <f t="shared" si="249"/>
      </c>
      <c r="Q208" s="71">
        <f t="shared" si="249"/>
      </c>
      <c r="R208" s="71">
        <f t="shared" si="249"/>
      </c>
      <c r="S208" s="71">
        <f t="shared" si="249"/>
      </c>
      <c r="T208" s="71">
        <f t="shared" si="249"/>
      </c>
      <c r="U208" s="71">
        <f t="shared" si="249"/>
      </c>
      <c r="Y208" s="71">
        <f t="shared" ref="Y208:AH208" si="250">IFERROR(Y190*$H$178/Y$178, 0)</f>
      </c>
      <c r="Z208" s="71">
        <f t="shared" si="250"/>
      </c>
      <c r="AA208" s="71">
        <f t="shared" si="250"/>
      </c>
      <c r="AB208" s="71">
        <f t="shared" si="250"/>
      </c>
      <c r="AC208" s="71">
        <f t="shared" si="250"/>
      </c>
      <c r="AD208" s="71">
        <f t="shared" si="250"/>
      </c>
      <c r="AE208" s="71">
        <f t="shared" si="250"/>
      </c>
      <c r="AF208" s="71">
        <f t="shared" si="250"/>
      </c>
      <c r="AG208" s="71">
        <f t="shared" si="250"/>
      </c>
      <c r="AH208" s="71">
        <f t="shared" si="250"/>
      </c>
    </row>
    <row r="209" spans="2:34" x14ac:dyDescent="0.3">
      <c r="D209" s="12" t="str">
        <f>D191</f>
      </c>
      <c r="E209" s="19"/>
      <c r="J209" s="71">
        <f t="shared" ref="J209:U209" si="251">IFERROR(J191*$H$178/J$178, 0)</f>
      </c>
      <c r="K209" s="71">
        <f t="shared" si="251"/>
      </c>
      <c r="L209" s="71">
        <f t="shared" si="251"/>
      </c>
      <c r="M209" s="71">
        <f t="shared" si="251"/>
      </c>
      <c r="N209" s="71">
        <f t="shared" si="251"/>
      </c>
      <c r="O209" s="71">
        <f t="shared" si="251"/>
      </c>
      <c r="P209" s="71">
        <f t="shared" si="251"/>
      </c>
      <c r="Q209" s="71">
        <f t="shared" si="251"/>
      </c>
      <c r="R209" s="71">
        <f t="shared" si="251"/>
      </c>
      <c r="S209" s="71">
        <f t="shared" si="251"/>
      </c>
      <c r="T209" s="71">
        <f t="shared" si="251"/>
      </c>
      <c r="U209" s="71">
        <f t="shared" si="251"/>
      </c>
      <c r="Y209" s="71">
        <f t="shared" ref="Y209:AH209" si="252">IFERROR(Y191*$H$178/Y$178, 0)</f>
      </c>
      <c r="Z209" s="71">
        <f t="shared" si="252"/>
      </c>
      <c r="AA209" s="71">
        <f t="shared" si="252"/>
      </c>
      <c r="AB209" s="71">
        <f t="shared" si="252"/>
      </c>
      <c r="AC209" s="71">
        <f t="shared" si="252"/>
      </c>
      <c r="AD209" s="71">
        <f t="shared" si="252"/>
      </c>
      <c r="AE209" s="71">
        <f t="shared" si="252"/>
      </c>
      <c r="AF209" s="71">
        <f t="shared" si="252"/>
      </c>
      <c r="AG209" s="71">
        <f t="shared" si="252"/>
      </c>
      <c r="AH209" s="71">
        <f t="shared" si="252"/>
      </c>
    </row>
    <row r="210" spans="2:34" x14ac:dyDescent="0.3">
      <c r="D210" s="12" t="str">
        <f>D192</f>
      </c>
      <c r="E210" s="19"/>
      <c r="J210" s="71">
        <f t="shared" ref="J210:U210" si="253">IFERROR(J192*$H$178/J$178, 0)</f>
      </c>
      <c r="K210" s="71">
        <f t="shared" si="253"/>
      </c>
      <c r="L210" s="71">
        <f t="shared" si="253"/>
      </c>
      <c r="M210" s="71">
        <f t="shared" si="253"/>
      </c>
      <c r="N210" s="71">
        <f t="shared" si="253"/>
      </c>
      <c r="O210" s="71">
        <f t="shared" si="253"/>
      </c>
      <c r="P210" s="71">
        <f t="shared" si="253"/>
      </c>
      <c r="Q210" s="71">
        <f t="shared" si="253"/>
      </c>
      <c r="R210" s="71">
        <f t="shared" si="253"/>
      </c>
      <c r="S210" s="71">
        <f t="shared" si="253"/>
      </c>
      <c r="T210" s="71">
        <f t="shared" si="253"/>
      </c>
      <c r="U210" s="71">
        <f t="shared" si="253"/>
      </c>
      <c r="Y210" s="71">
        <f t="shared" ref="Y210:AH210" si="254">IFERROR(Y192*$H$178/Y$178, 0)</f>
      </c>
      <c r="Z210" s="71">
        <f t="shared" si="254"/>
      </c>
      <c r="AA210" s="71">
        <f t="shared" si="254"/>
      </c>
      <c r="AB210" s="71">
        <f t="shared" si="254"/>
      </c>
      <c r="AC210" s="71">
        <f t="shared" si="254"/>
      </c>
      <c r="AD210" s="71">
        <f t="shared" si="254"/>
      </c>
      <c r="AE210" s="71">
        <f t="shared" si="254"/>
      </c>
      <c r="AF210" s="71">
        <f t="shared" si="254"/>
      </c>
      <c r="AG210" s="71">
        <f t="shared" si="254"/>
      </c>
      <c r="AH210" s="71">
        <f t="shared" si="254"/>
      </c>
    </row>
    <row r="211" spans="2:34" x14ac:dyDescent="0.3">
      <c r="D211" s="12" t="str">
        <f>D193</f>
      </c>
      <c r="E211" s="19"/>
      <c r="J211" s="71">
        <f t="shared" ref="J211:U211" si="255">IFERROR(J193*$H$178/J$178, 0)</f>
      </c>
      <c r="K211" s="71">
        <f t="shared" si="255"/>
      </c>
      <c r="L211" s="71">
        <f t="shared" si="255"/>
      </c>
      <c r="M211" s="71">
        <f t="shared" si="255"/>
      </c>
      <c r="N211" s="71">
        <f t="shared" si="255"/>
      </c>
      <c r="O211" s="71">
        <f t="shared" si="255"/>
      </c>
      <c r="P211" s="71">
        <f t="shared" si="255"/>
      </c>
      <c r="Q211" s="71">
        <f t="shared" si="255"/>
      </c>
      <c r="R211" s="71">
        <f t="shared" si="255"/>
      </c>
      <c r="S211" s="71">
        <f t="shared" si="255"/>
      </c>
      <c r="T211" s="71">
        <f t="shared" si="255"/>
      </c>
      <c r="U211" s="71">
        <f t="shared" si="255"/>
      </c>
      <c r="Y211" s="71">
        <f t="shared" ref="Y211:AH211" si="256">IFERROR(Y193*$H$178/Y$178, 0)</f>
      </c>
      <c r="Z211" s="71">
        <f t="shared" si="256"/>
      </c>
      <c r="AA211" s="71">
        <f t="shared" si="256"/>
      </c>
      <c r="AB211" s="71">
        <f t="shared" si="256"/>
      </c>
      <c r="AC211" s="71">
        <f t="shared" si="256"/>
      </c>
      <c r="AD211" s="71">
        <f t="shared" si="256"/>
      </c>
      <c r="AE211" s="71">
        <f t="shared" si="256"/>
      </c>
      <c r="AF211" s="71">
        <f t="shared" si="256"/>
      </c>
      <c r="AG211" s="71">
        <f t="shared" si="256"/>
      </c>
      <c r="AH211" s="71">
        <f t="shared" si="256"/>
      </c>
    </row>
    <row r="212" spans="2:34" ht="15" thickBot="1" x14ac:dyDescent="0.35">
      <c r="D212" s="2" t="s">
        <v>226</v>
      </c>
      <c r="E212" s="2"/>
      <c r="J212" s="90">
        <f t="shared" ref="J212:U212" si="257">SUM(J207:J211)</f>
      </c>
      <c r="K212" s="90">
        <f t="shared" si="257"/>
      </c>
      <c r="L212" s="90">
        <f t="shared" si="257"/>
      </c>
      <c r="M212" s="90">
        <f t="shared" si="257"/>
      </c>
      <c r="N212" s="90">
        <f t="shared" si="257"/>
      </c>
      <c r="O212" s="90">
        <f t="shared" si="257"/>
      </c>
      <c r="P212" s="90">
        <f t="shared" si="257"/>
      </c>
      <c r="Q212" s="90">
        <f t="shared" si="257"/>
      </c>
      <c r="R212" s="90">
        <f t="shared" si="257"/>
      </c>
      <c r="S212" s="90">
        <f t="shared" si="257"/>
      </c>
      <c r="T212" s="90">
        <f t="shared" si="257"/>
      </c>
      <c r="U212" s="90">
        <f t="shared" si="257"/>
      </c>
      <c r="Y212" s="90">
        <f t="shared" ref="Y212:AH212" si="258">SUM(Y207:Y211)</f>
      </c>
      <c r="Z212" s="90">
        <f t="shared" si="258"/>
      </c>
      <c r="AA212" s="90">
        <f t="shared" si="258"/>
      </c>
      <c r="AB212" s="90">
        <f t="shared" si="258"/>
      </c>
      <c r="AC212" s="90">
        <f t="shared" si="258"/>
      </c>
      <c r="AD212" s="90">
        <f t="shared" si="258"/>
      </c>
      <c r="AE212" s="90">
        <f t="shared" si="258"/>
      </c>
      <c r="AF212" s="90">
        <f t="shared" si="258"/>
      </c>
      <c r="AG212" s="90">
        <f t="shared" si="258"/>
      </c>
      <c r="AH212" s="90">
        <f t="shared" si="258"/>
      </c>
    </row>
    <row r="213" spans="2:34" ht="15" thickBot="1" x14ac:dyDescent="0.35">
      <c r="C213" s="2" t="s">
        <v>613</v>
      </c>
      <c r="D213" s="2"/>
      <c r="H213" s="77" t="str">
        <f>'Assumptions&amp;Scenario'!$K$44</f>
      </c>
      <c r="J213" s="110">
        <f t="shared" ref="J213:U213" si="259">J212+J204</f>
      </c>
      <c r="K213" s="110">
        <f t="shared" si="259"/>
      </c>
      <c r="L213" s="110">
        <f t="shared" si="259"/>
      </c>
      <c r="M213" s="110">
        <f t="shared" si="259"/>
      </c>
      <c r="N213" s="110">
        <f t="shared" si="259"/>
      </c>
      <c r="O213" s="110">
        <f t="shared" si="259"/>
      </c>
      <c r="P213" s="110">
        <f t="shared" si="259"/>
      </c>
      <c r="Q213" s="110">
        <f t="shared" si="259"/>
      </c>
      <c r="R213" s="110">
        <f t="shared" si="259"/>
      </c>
      <c r="S213" s="110">
        <f t="shared" si="259"/>
      </c>
      <c r="T213" s="110">
        <f t="shared" si="259"/>
      </c>
      <c r="U213" s="110">
        <f t="shared" si="259"/>
      </c>
      <c r="Y213" s="110">
        <f t="shared" ref="Y213:AH213" si="260">Y212+Y204</f>
      </c>
      <c r="Z213" s="110">
        <f t="shared" si="260"/>
      </c>
      <c r="AA213" s="110">
        <f t="shared" si="260"/>
      </c>
      <c r="AB213" s="110">
        <f t="shared" si="260"/>
      </c>
      <c r="AC213" s="110">
        <f t="shared" si="260"/>
      </c>
      <c r="AD213" s="110">
        <f t="shared" si="260"/>
      </c>
      <c r="AE213" s="110">
        <f t="shared" si="260"/>
      </c>
      <c r="AF213" s="110">
        <f t="shared" si="260"/>
      </c>
      <c r="AG213" s="110">
        <f t="shared" si="260"/>
      </c>
      <c r="AH213" s="110">
        <f t="shared" si="260"/>
      </c>
    </row>
    <row r="214" spans="2:34" ht="15" thickTop="1" x14ac:dyDescent="0.3">
      <c r="D214" s="78" t="s">
        <v>225</v>
      </c>
      <c r="K214" s="85">
        <f t="shared" ref="K214" si="261">IFERROR(K213/J213-1, 0)</f>
      </c>
      <c r="L214" s="85">
        <f t="shared" ref="L214" si="262">IFERROR(L213/K213-1, 0)</f>
      </c>
      <c r="M214" s="85">
        <f t="shared" ref="M214" si="263">IFERROR(M213/L213-1, 0)</f>
      </c>
      <c r="N214" s="85">
        <f t="shared" ref="N214" si="264">IFERROR(N213/M213-1, 0)</f>
      </c>
      <c r="O214" s="85">
        <f t="shared" ref="O214" si="265">IFERROR(O213/N213-1, 0)</f>
      </c>
      <c r="P214" s="85">
        <f t="shared" ref="P214" si="266">IFERROR(P213/O213-1, 0)</f>
      </c>
      <c r="Q214" s="85">
        <f t="shared" ref="Q214" si="267">IFERROR(Q213/P213-1, 0)</f>
      </c>
      <c r="R214" s="85">
        <f t="shared" ref="R214" si="268">IFERROR(R213/Q213-1, 0)</f>
      </c>
      <c r="S214" s="85">
        <f t="shared" ref="S214" si="269">IFERROR(S213/R213-1, 0)</f>
      </c>
      <c r="T214" s="85">
        <f t="shared" ref="T214" si="270">IFERROR(T213/S213-1, 0)</f>
      </c>
      <c r="U214" s="85">
        <f>IFERROR(U213/T213-1, 0)</f>
      </c>
      <c r="Y214" s="85">
        <f>IFERROR(Y213/U213-1, 0)</f>
      </c>
      <c r="Z214" s="85">
        <f t="shared" ref="Z214" si="271">IFERROR(Z213/Y213-1, 0)</f>
      </c>
      <c r="AA214" s="85">
        <f t="shared" ref="AA214" si="272">IFERROR(AA213/Z213-1, 0)</f>
      </c>
      <c r="AB214" s="85">
        <f t="shared" ref="AB214" si="273">IFERROR(AB213/AA213-1, 0)</f>
      </c>
      <c r="AC214" s="85">
        <f t="shared" ref="AC214" si="274">IFERROR(AC213/AB213-1, 0)</f>
      </c>
      <c r="AD214" s="85">
        <f t="shared" ref="AD214" si="275">IFERROR(AD213/AC213-1, 0)</f>
      </c>
      <c r="AE214" s="85">
        <f t="shared" ref="AE214" si="276">IFERROR(AE213/AD213-1, 0)</f>
      </c>
      <c r="AF214" s="85">
        <f t="shared" ref="AF214" si="277">IFERROR(AF213/AE213-1, 0)</f>
      </c>
      <c r="AG214" s="85">
        <f t="shared" ref="AG214" si="278">IFERROR(AG213/AF213-1, 0)</f>
      </c>
      <c r="AH214" s="85">
        <f>IFERROR(AH213/AG213-1, 0)</f>
      </c>
    </row>
    <row r="218" spans="2:34" ht="18" x14ac:dyDescent="0.35">
      <c r="B218" s="148" t="str">
        <f>'Assumptions&amp;Scenario'!$K$10</f>
      </c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</row>
    <row r="219" spans="2:34" ht="18" thickBot="1" x14ac:dyDescent="0.35">
      <c r="B219" s="47" t="s">
        <v>230</v>
      </c>
      <c r="C219" s="48"/>
      <c r="D219" s="48"/>
      <c r="E219" s="48"/>
      <c r="F219" s="48"/>
      <c r="G219" s="48"/>
      <c r="H219" s="49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Y219" s="47" t="s">
        <v>308</v>
      </c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 spans="2:34" x14ac:dyDescent="0.3">
      <c r="C220" s="2"/>
      <c r="D220" s="2"/>
      <c r="E220" s="2"/>
      <c r="F220" s="2"/>
      <c r="J220" s="40">
        <v>1</v>
      </c>
      <c r="K220" s="40">
        <v>2</v>
      </c>
      <c r="L220" s="89">
        <v>2</v>
      </c>
      <c r="M220" s="89">
        <v>4</v>
      </c>
      <c r="N220" s="89">
        <v>5</v>
      </c>
      <c r="O220" s="89">
        <v>6</v>
      </c>
      <c r="P220" s="89">
        <v>7</v>
      </c>
      <c r="Q220" s="89">
        <v>8</v>
      </c>
      <c r="R220" s="89">
        <v>9</v>
      </c>
      <c r="S220" s="89">
        <v>10</v>
      </c>
      <c r="T220" s="89">
        <v>11</v>
      </c>
      <c r="U220" s="89">
        <v>12</v>
      </c>
      <c r="V220" s="40"/>
      <c r="W220" s="40"/>
      <c r="X220" s="40"/>
      <c r="Y220" s="89">
        <v>13</v>
      </c>
      <c r="Z220" s="89">
        <v>14</v>
      </c>
      <c r="AA220" s="89">
        <v>15</v>
      </c>
      <c r="AB220" s="89">
        <v>16</v>
      </c>
      <c r="AC220" s="89">
        <v>17</v>
      </c>
      <c r="AD220" s="89">
        <v>18</v>
      </c>
      <c r="AE220" s="89">
        <v>19</v>
      </c>
      <c r="AF220" s="89">
        <v>20</v>
      </c>
      <c r="AG220" s="89">
        <v>21</v>
      </c>
      <c r="AH220" s="89">
        <v>22</v>
      </c>
    </row>
    <row r="221" spans="2:34" ht="15.6" x14ac:dyDescent="0.3">
      <c r="C221" s="43" t="s">
        <v>25</v>
      </c>
      <c r="D221" s="43"/>
      <c r="E221" s="43"/>
      <c r="F221" s="43"/>
      <c r="G221" s="43"/>
      <c r="H221" s="44"/>
      <c r="I221" s="44"/>
      <c r="J221" s="44" t="str">
        <f t="shared" ref="J221:S221" si="279">"FY"&amp;TEXT(MID(K221,3,2)-IF(RIGHT(K221,1)="1",1,0),"00")&amp;"Q"&amp;CHOOSE(RIGHT(K221,1)+0,4,1,2,3)</f>
      </c>
      <c r="K221" s="44" t="str">
        <f t="shared" si="279"/>
      </c>
      <c r="L221" s="79" t="str">
        <f t="shared" si="279"/>
      </c>
      <c r="M221" s="79" t="str">
        <f t="shared" si="279"/>
      </c>
      <c r="N221" s="79" t="str">
        <f t="shared" si="279"/>
      </c>
      <c r="O221" s="79" t="str">
        <f t="shared" si="279"/>
      </c>
      <c r="P221" s="79" t="str">
        <f t="shared" si="279"/>
      </c>
      <c r="Q221" s="79" t="str">
        <f t="shared" si="279"/>
      </c>
      <c r="R221" s="79" t="str">
        <f t="shared" si="279"/>
      </c>
      <c r="S221" s="79" t="str">
        <f t="shared" si="279"/>
      </c>
      <c r="T221" s="79" t="str">
        <f>"FY"&amp;TEXT(MID(U221,3,2)-IF(RIGHT(U221,1)="1",1,0),"00")&amp;"Q"&amp;CHOOSE(RIGHT(U221,1)+0,4,1,2,3)</f>
      </c>
      <c r="U221" s="79" t="str">
        <f>"FY"&amp;TEXT(YEAR('Data Sheet'!$K$41)+(MONTH('Data Sheet'!$K$41)&gt;3)-2000,"00")&amp;"Q"&amp;INT((MOD(MONTH('Data Sheet'!$K$41)-4,12))/3)+1</f>
      </c>
      <c r="Y221" s="44" t="str">
        <f>Model!$N$31</f>
      </c>
      <c r="Z221" s="44" t="str">
        <f t="shared" ref="Z221:AH221" si="280">"FY"&amp;TEXT(MID(Y221,3,2)+IF(RIGHT(Y221,1)="4",1,0),"00")&amp;"Q"&amp;MOD(RIGHT(Y221,1),4)+1</f>
      </c>
      <c r="AA221" s="44" t="str">
        <f t="shared" si="280"/>
      </c>
      <c r="AB221" s="44" t="str">
        <f t="shared" si="280"/>
      </c>
      <c r="AC221" s="44" t="str">
        <f t="shared" si="280"/>
      </c>
      <c r="AD221" s="44" t="str">
        <f t="shared" si="280"/>
      </c>
      <c r="AE221" s="44" t="str">
        <f t="shared" si="280"/>
      </c>
      <c r="AF221" s="44" t="str">
        <f t="shared" si="280"/>
      </c>
      <c r="AG221" s="44" t="str">
        <f t="shared" si="280"/>
      </c>
      <c r="AH221" s="44" t="str">
        <f t="shared" si="280"/>
      </c>
    </row>
    <row r="222" spans="2:34" ht="3" customHeight="1" x14ac:dyDescent="0.3"/>
    <row r="223" spans="2:34" ht="3" customHeight="1" x14ac:dyDescent="0.3"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2:34" ht="3" customHeight="1" thickBot="1" x14ac:dyDescent="0.35"/>
    <row r="225" spans="3:34" ht="15" thickBot="1" x14ac:dyDescent="0.35">
      <c r="C225" s="2" t="str">
        <f>$C$37</f>
      </c>
      <c r="H225" s="248">
        <f>H178</f>
      </c>
      <c r="J225" s="71">
        <f t="shared" ref="J225:U225" si="281">J121</f>
      </c>
      <c r="K225" s="71">
        <f t="shared" si="281"/>
      </c>
      <c r="L225" s="71">
        <f t="shared" si="281"/>
      </c>
      <c r="M225" s="71">
        <f t="shared" si="281"/>
      </c>
      <c r="N225" s="71">
        <f t="shared" si="281"/>
      </c>
      <c r="O225" s="71">
        <f t="shared" si="281"/>
      </c>
      <c r="P225" s="71">
        <f t="shared" si="281"/>
      </c>
      <c r="Q225" s="71">
        <f t="shared" si="281"/>
      </c>
      <c r="R225" s="71">
        <f t="shared" si="281"/>
      </c>
      <c r="S225" s="71">
        <f t="shared" si="281"/>
      </c>
      <c r="T225" s="71">
        <f t="shared" si="281"/>
      </c>
      <c r="U225" s="71">
        <f t="shared" si="281"/>
      </c>
      <c r="Y225" s="71">
        <f t="shared" ref="Y225:AH225" si="282">Y121</f>
      </c>
      <c r="Z225" s="71">
        <f t="shared" si="282"/>
      </c>
      <c r="AA225" s="71">
        <f t="shared" si="282"/>
      </c>
      <c r="AB225" s="71">
        <f t="shared" si="282"/>
      </c>
      <c r="AC225" s="71">
        <f t="shared" si="282"/>
      </c>
      <c r="AD225" s="71">
        <f t="shared" si="282"/>
      </c>
      <c r="AE225" s="71">
        <f t="shared" si="282"/>
      </c>
      <c r="AF225" s="71">
        <f t="shared" si="282"/>
      </c>
      <c r="AG225" s="71">
        <f t="shared" si="282"/>
      </c>
      <c r="AH225" s="71">
        <f t="shared" si="282"/>
      </c>
    </row>
    <row r="226" spans="3:34" ht="3" customHeight="1" x14ac:dyDescent="0.3"/>
    <row r="227" spans="3:34" x14ac:dyDescent="0.3">
      <c r="C227" s="2" t="s">
        <v>221</v>
      </c>
      <c r="H227" s="77" t="str">
        <f>$H$10</f>
      </c>
    </row>
    <row r="228" spans="3:34" x14ac:dyDescent="0.3">
      <c r="D228" s="12" t="str">
        <f>D181</f>
      </c>
      <c r="E228" s="19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Y228" s="71">
        <f>IFERROR(_xlfn.FORECAST.LINEAR(Y$220, $J228:$U228, $J$220:$U$220), 0)</f>
      </c>
      <c r="Z228" s="71">
        <f t="shared" ref="Z228:AH228" si="283">IFERROR(_xlfn.FORECAST.LINEAR(Z$220, $J228:$U228, $J$220:$U$220), 0)</f>
      </c>
      <c r="AA228" s="71">
        <f t="shared" si="283"/>
      </c>
      <c r="AB228" s="71">
        <f t="shared" si="283"/>
      </c>
      <c r="AC228" s="71">
        <f t="shared" si="283"/>
      </c>
      <c r="AD228" s="71">
        <f t="shared" si="283"/>
      </c>
      <c r="AE228" s="71">
        <f t="shared" si="283"/>
      </c>
      <c r="AF228" s="71">
        <f t="shared" si="283"/>
      </c>
      <c r="AG228" s="71">
        <f t="shared" si="283"/>
      </c>
      <c r="AH228" s="71">
        <f t="shared" si="283"/>
      </c>
    </row>
    <row r="229" spans="3:34" x14ac:dyDescent="0.3">
      <c r="D229" s="12" t="str">
        <f>D182</f>
      </c>
      <c r="E229" s="19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Y229" s="71">
        <f t="shared" ref="Y229:AH232" si="284">IFERROR(_xlfn.FORECAST.LINEAR(Y$220, $J229:$U229, $J$220:$U$220), 0)</f>
      </c>
      <c r="Z229" s="71">
        <f t="shared" si="284"/>
      </c>
      <c r="AA229" s="71">
        <f t="shared" si="284"/>
      </c>
      <c r="AB229" s="71">
        <f t="shared" si="284"/>
      </c>
      <c r="AC229" s="71">
        <f t="shared" si="284"/>
      </c>
      <c r="AD229" s="71">
        <f t="shared" si="284"/>
      </c>
      <c r="AE229" s="71">
        <f t="shared" si="284"/>
      </c>
      <c r="AF229" s="71">
        <f t="shared" si="284"/>
      </c>
      <c r="AG229" s="71">
        <f t="shared" si="284"/>
      </c>
      <c r="AH229" s="71">
        <f t="shared" si="284"/>
      </c>
    </row>
    <row r="230" spans="3:34" x14ac:dyDescent="0.3">
      <c r="D230" s="12" t="str">
        <f>D183</f>
      </c>
      <c r="E230" s="19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Y230" s="71">
        <f t="shared" si="284"/>
      </c>
      <c r="Z230" s="71">
        <f t="shared" si="284"/>
      </c>
      <c r="AA230" s="71">
        <f t="shared" si="284"/>
      </c>
      <c r="AB230" s="71">
        <f t="shared" si="284"/>
      </c>
      <c r="AC230" s="71">
        <f t="shared" si="284"/>
      </c>
      <c r="AD230" s="71">
        <f t="shared" si="284"/>
      </c>
      <c r="AE230" s="71">
        <f t="shared" si="284"/>
      </c>
      <c r="AF230" s="71">
        <f t="shared" si="284"/>
      </c>
      <c r="AG230" s="71">
        <f t="shared" si="284"/>
      </c>
      <c r="AH230" s="71">
        <f t="shared" si="284"/>
      </c>
    </row>
    <row r="231" spans="3:34" x14ac:dyDescent="0.3">
      <c r="D231" s="12" t="str">
        <f>D184</f>
      </c>
      <c r="E231" s="19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Y231" s="71">
        <f t="shared" si="284"/>
      </c>
      <c r="Z231" s="71">
        <f t="shared" si="284"/>
      </c>
      <c r="AA231" s="71">
        <f t="shared" si="284"/>
      </c>
      <c r="AB231" s="71">
        <f t="shared" si="284"/>
      </c>
      <c r="AC231" s="71">
        <f t="shared" si="284"/>
      </c>
      <c r="AD231" s="71">
        <f t="shared" si="284"/>
      </c>
      <c r="AE231" s="71">
        <f t="shared" si="284"/>
      </c>
      <c r="AF231" s="71">
        <f t="shared" si="284"/>
      </c>
      <c r="AG231" s="71">
        <f t="shared" si="284"/>
      </c>
      <c r="AH231" s="71">
        <f t="shared" si="284"/>
      </c>
    </row>
    <row r="232" spans="3:34" x14ac:dyDescent="0.3">
      <c r="D232" s="12" t="str">
        <f>D185</f>
      </c>
      <c r="E232" s="19"/>
      <c r="J232" s="56"/>
      <c r="K232" s="56"/>
      <c r="L232" s="56">
        <f>IFERROR('Data Sheet'!B43, 0)</f>
      </c>
      <c r="M232" s="56">
        <f>IFERROR('Data Sheet'!C43, 0)</f>
      </c>
      <c r="N232" s="56">
        <f>IFERROR('Data Sheet'!D43, 0)</f>
      </c>
      <c r="O232" s="56">
        <f>IFERROR('Data Sheet'!E43, 0)</f>
      </c>
      <c r="P232" s="56">
        <f>IFERROR('Data Sheet'!F43, 0)</f>
      </c>
      <c r="Q232" s="56">
        <f>IFERROR('Data Sheet'!G43, 0)</f>
      </c>
      <c r="R232" s="56">
        <f>IFERROR('Data Sheet'!H43, 0)</f>
      </c>
      <c r="S232" s="56">
        <f>IFERROR('Data Sheet'!I43, 0)</f>
      </c>
      <c r="T232" s="56">
        <f>IFERROR('Data Sheet'!J43, 0)</f>
      </c>
      <c r="U232" s="56">
        <f>IFERROR('Data Sheet'!K43, 0)</f>
      </c>
      <c r="Y232" s="71">
        <f t="shared" si="284"/>
      </c>
      <c r="Z232" s="71">
        <f t="shared" si="284"/>
      </c>
      <c r="AA232" s="71">
        <f t="shared" si="284"/>
      </c>
      <c r="AB232" s="71">
        <f t="shared" si="284"/>
      </c>
      <c r="AC232" s="71">
        <f t="shared" si="284"/>
      </c>
      <c r="AD232" s="71">
        <f t="shared" si="284"/>
      </c>
      <c r="AE232" s="71">
        <f t="shared" si="284"/>
      </c>
      <c r="AF232" s="71">
        <f t="shared" si="284"/>
      </c>
      <c r="AG232" s="71">
        <f t="shared" si="284"/>
      </c>
      <c r="AH232" s="71">
        <f t="shared" si="284"/>
      </c>
    </row>
    <row r="233" spans="3:34" x14ac:dyDescent="0.3">
      <c r="D233" s="2" t="s">
        <v>223</v>
      </c>
      <c r="E233" s="2"/>
      <c r="J233" s="90">
        <f t="shared" ref="J233:U233" si="285">SUM(J228:J232)</f>
      </c>
      <c r="K233" s="90">
        <f t="shared" si="285"/>
      </c>
      <c r="L233" s="90">
        <f t="shared" si="285"/>
      </c>
      <c r="M233" s="90">
        <f t="shared" si="285"/>
      </c>
      <c r="N233" s="90">
        <f t="shared" si="285"/>
      </c>
      <c r="O233" s="90">
        <f t="shared" si="285"/>
      </c>
      <c r="P233" s="90">
        <f t="shared" si="285"/>
      </c>
      <c r="Q233" s="90">
        <f t="shared" si="285"/>
      </c>
      <c r="R233" s="90">
        <f t="shared" si="285"/>
      </c>
      <c r="S233" s="90">
        <f t="shared" si="285"/>
      </c>
      <c r="T233" s="90">
        <f t="shared" si="285"/>
      </c>
      <c r="U233" s="90">
        <f t="shared" si="285"/>
      </c>
      <c r="Y233" s="90">
        <f t="shared" ref="Y233:AH233" si="286">SUM(Y228:Y232)</f>
      </c>
      <c r="Z233" s="90">
        <f t="shared" si="286"/>
      </c>
      <c r="AA233" s="90">
        <f t="shared" si="286"/>
      </c>
      <c r="AB233" s="90">
        <f t="shared" si="286"/>
      </c>
      <c r="AC233" s="90">
        <f t="shared" si="286"/>
      </c>
      <c r="AD233" s="90">
        <f t="shared" si="286"/>
      </c>
      <c r="AE233" s="90">
        <f t="shared" si="286"/>
      </c>
      <c r="AF233" s="90">
        <f t="shared" si="286"/>
      </c>
      <c r="AG233" s="90">
        <f t="shared" si="286"/>
      </c>
      <c r="AH233" s="90">
        <f t="shared" si="286"/>
      </c>
    </row>
    <row r="234" spans="3:34" ht="3" customHeight="1" x14ac:dyDescent="0.3"/>
    <row r="235" spans="3:34" x14ac:dyDescent="0.3">
      <c r="C235" s="2" t="s">
        <v>167</v>
      </c>
      <c r="D235" s="2"/>
      <c r="H235" s="77" t="str">
        <f>$H$10</f>
      </c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Y235" s="71">
        <f t="shared" ref="Y235:AH240" si="287">IFERROR(_xlfn.FORECAST.LINEAR(Y$220, $J235:$U235, $J$220:$U$220), 0)</f>
      </c>
      <c r="Z235" s="71">
        <f t="shared" si="287"/>
      </c>
      <c r="AA235" s="71">
        <f t="shared" si="287"/>
      </c>
      <c r="AB235" s="71">
        <f t="shared" si="287"/>
      </c>
      <c r="AC235" s="71">
        <f t="shared" si="287"/>
      </c>
      <c r="AD235" s="71">
        <f t="shared" si="287"/>
      </c>
      <c r="AE235" s="71">
        <f t="shared" si="287"/>
      </c>
      <c r="AF235" s="71">
        <f t="shared" si="287"/>
      </c>
      <c r="AG235" s="71">
        <f t="shared" si="287"/>
      </c>
      <c r="AH235" s="71">
        <f t="shared" si="287"/>
      </c>
    </row>
    <row r="236" spans="3:34" x14ac:dyDescent="0.3">
      <c r="D236" s="12" t="str">
        <f>D189</f>
      </c>
      <c r="E236" s="19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Y236" s="71">
        <f t="shared" si="287"/>
      </c>
      <c r="Z236" s="71">
        <f t="shared" si="287"/>
      </c>
      <c r="AA236" s="71">
        <f t="shared" si="287"/>
      </c>
      <c r="AB236" s="71">
        <f t="shared" si="287"/>
      </c>
      <c r="AC236" s="71">
        <f t="shared" si="287"/>
      </c>
      <c r="AD236" s="71">
        <f t="shared" si="287"/>
      </c>
      <c r="AE236" s="71">
        <f t="shared" si="287"/>
      </c>
      <c r="AF236" s="71">
        <f t="shared" si="287"/>
      </c>
      <c r="AG236" s="71">
        <f t="shared" si="287"/>
      </c>
      <c r="AH236" s="71">
        <f t="shared" si="287"/>
      </c>
    </row>
    <row r="237" spans="3:34" x14ac:dyDescent="0.3">
      <c r="D237" s="12" t="str">
        <f>D190</f>
      </c>
      <c r="E237" s="19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Y237" s="71">
        <f t="shared" si="287"/>
      </c>
      <c r="Z237" s="71">
        <f t="shared" si="287"/>
      </c>
      <c r="AA237" s="71">
        <f t="shared" si="287"/>
      </c>
      <c r="AB237" s="71">
        <f t="shared" si="287"/>
      </c>
      <c r="AC237" s="71">
        <f t="shared" si="287"/>
      </c>
      <c r="AD237" s="71">
        <f t="shared" si="287"/>
      </c>
      <c r="AE237" s="71">
        <f t="shared" si="287"/>
      </c>
      <c r="AF237" s="71">
        <f t="shared" si="287"/>
      </c>
      <c r="AG237" s="71">
        <f t="shared" si="287"/>
      </c>
      <c r="AH237" s="71">
        <f t="shared" si="287"/>
      </c>
    </row>
    <row r="238" spans="3:34" x14ac:dyDescent="0.3">
      <c r="D238" s="12" t="str">
        <f>D191</f>
      </c>
      <c r="E238" s="19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Y238" s="71">
        <f t="shared" si="287"/>
      </c>
      <c r="Z238" s="71">
        <f t="shared" si="287"/>
      </c>
      <c r="AA238" s="71">
        <f t="shared" si="287"/>
      </c>
      <c r="AB238" s="71">
        <f t="shared" si="287"/>
      </c>
      <c r="AC238" s="71">
        <f t="shared" si="287"/>
      </c>
      <c r="AD238" s="71">
        <f t="shared" si="287"/>
      </c>
      <c r="AE238" s="71">
        <f t="shared" si="287"/>
      </c>
      <c r="AF238" s="71">
        <f t="shared" si="287"/>
      </c>
      <c r="AG238" s="71">
        <f t="shared" si="287"/>
      </c>
      <c r="AH238" s="71">
        <f t="shared" si="287"/>
      </c>
    </row>
    <row r="239" spans="3:34" x14ac:dyDescent="0.3">
      <c r="D239" s="12" t="str">
        <f>D192</f>
      </c>
      <c r="E239" s="19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Y239" s="71">
        <f t="shared" si="287"/>
      </c>
      <c r="Z239" s="71">
        <f t="shared" si="287"/>
      </c>
      <c r="AA239" s="71">
        <f t="shared" si="287"/>
      </c>
      <c r="AB239" s="71">
        <f t="shared" si="287"/>
      </c>
      <c r="AC239" s="71">
        <f t="shared" si="287"/>
      </c>
      <c r="AD239" s="71">
        <f t="shared" si="287"/>
      </c>
      <c r="AE239" s="71">
        <f t="shared" si="287"/>
      </c>
      <c r="AF239" s="71">
        <f t="shared" si="287"/>
      </c>
      <c r="AG239" s="71">
        <f t="shared" si="287"/>
      </c>
      <c r="AH239" s="71">
        <f t="shared" si="287"/>
      </c>
    </row>
    <row r="240" spans="3:34" x14ac:dyDescent="0.3">
      <c r="D240" s="12" t="str">
        <f>D193</f>
      </c>
      <c r="E240" s="19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Y240" s="71">
        <f t="shared" si="287"/>
      </c>
      <c r="Z240" s="71">
        <f t="shared" si="287"/>
      </c>
      <c r="AA240" s="71">
        <f t="shared" si="287"/>
      </c>
      <c r="AB240" s="71">
        <f t="shared" si="287"/>
      </c>
      <c r="AC240" s="71">
        <f t="shared" si="287"/>
      </c>
      <c r="AD240" s="71">
        <f t="shared" si="287"/>
      </c>
      <c r="AE240" s="71">
        <f t="shared" si="287"/>
      </c>
      <c r="AF240" s="71">
        <f t="shared" si="287"/>
      </c>
      <c r="AG240" s="71">
        <f t="shared" si="287"/>
      </c>
      <c r="AH240" s="71">
        <f t="shared" si="287"/>
      </c>
    </row>
    <row r="241" spans="3:34" ht="15" thickBot="1" x14ac:dyDescent="0.35">
      <c r="D241" s="2" t="s">
        <v>224</v>
      </c>
      <c r="E241" s="2"/>
      <c r="J241" s="90">
        <f t="shared" ref="J241:U241" si="288">SUM(J236:J240)</f>
      </c>
      <c r="K241" s="90">
        <f t="shared" si="288"/>
      </c>
      <c r="L241" s="90">
        <f t="shared" si="288"/>
      </c>
      <c r="M241" s="90">
        <f t="shared" si="288"/>
      </c>
      <c r="N241" s="90">
        <f t="shared" si="288"/>
      </c>
      <c r="O241" s="90">
        <f t="shared" si="288"/>
      </c>
      <c r="P241" s="90">
        <f t="shared" si="288"/>
      </c>
      <c r="Q241" s="90">
        <f t="shared" si="288"/>
      </c>
      <c r="R241" s="90">
        <f t="shared" si="288"/>
      </c>
      <c r="S241" s="90">
        <f t="shared" si="288"/>
      </c>
      <c r="T241" s="90">
        <f t="shared" si="288"/>
      </c>
      <c r="U241" s="90">
        <f t="shared" si="288"/>
      </c>
      <c r="Y241" s="90">
        <f t="shared" ref="Y241:AH241" si="289">SUM(Y236:Y240)</f>
      </c>
      <c r="Z241" s="90">
        <f t="shared" si="289"/>
      </c>
      <c r="AA241" s="90">
        <f t="shared" si="289"/>
      </c>
      <c r="AB241" s="90">
        <f t="shared" si="289"/>
      </c>
      <c r="AC241" s="90">
        <f t="shared" si="289"/>
      </c>
      <c r="AD241" s="90">
        <f t="shared" si="289"/>
      </c>
      <c r="AE241" s="90">
        <f t="shared" si="289"/>
      </c>
      <c r="AF241" s="90">
        <f t="shared" si="289"/>
      </c>
      <c r="AG241" s="90">
        <f t="shared" si="289"/>
      </c>
      <c r="AH241" s="90">
        <f t="shared" si="289"/>
      </c>
    </row>
    <row r="242" spans="3:34" ht="15" thickBot="1" x14ac:dyDescent="0.35">
      <c r="C242" s="2" t="s">
        <v>220</v>
      </c>
      <c r="D242" s="2"/>
      <c r="J242" s="110">
        <f t="shared" ref="J242:U242" si="290">J241+J233</f>
      </c>
      <c r="K242" s="110">
        <f t="shared" si="290"/>
      </c>
      <c r="L242" s="110">
        <f t="shared" si="290"/>
      </c>
      <c r="M242" s="110">
        <f t="shared" si="290"/>
      </c>
      <c r="N242" s="110">
        <f t="shared" si="290"/>
      </c>
      <c r="O242" s="110">
        <f t="shared" si="290"/>
      </c>
      <c r="P242" s="110">
        <f t="shared" si="290"/>
      </c>
      <c r="Q242" s="110">
        <f t="shared" si="290"/>
      </c>
      <c r="R242" s="110">
        <f t="shared" si="290"/>
      </c>
      <c r="S242" s="110">
        <f t="shared" si="290"/>
      </c>
      <c r="T242" s="110">
        <f t="shared" si="290"/>
      </c>
      <c r="U242" s="110">
        <f t="shared" si="290"/>
      </c>
      <c r="Y242" s="110">
        <f t="shared" ref="Y242:AH242" si="291">Y241+Y233</f>
      </c>
      <c r="Z242" s="110">
        <f t="shared" si="291"/>
      </c>
      <c r="AA242" s="110">
        <f t="shared" si="291"/>
      </c>
      <c r="AB242" s="110">
        <f t="shared" si="291"/>
      </c>
      <c r="AC242" s="110">
        <f t="shared" si="291"/>
      </c>
      <c r="AD242" s="110">
        <f t="shared" si="291"/>
      </c>
      <c r="AE242" s="110">
        <f t="shared" si="291"/>
      </c>
      <c r="AF242" s="110">
        <f t="shared" si="291"/>
      </c>
      <c r="AG242" s="110">
        <f t="shared" si="291"/>
      </c>
      <c r="AH242" s="110">
        <f t="shared" si="291"/>
      </c>
    </row>
    <row r="243" spans="3:34" ht="15" thickTop="1" x14ac:dyDescent="0.3">
      <c r="D243" s="78" t="s">
        <v>225</v>
      </c>
      <c r="K243" s="85"/>
      <c r="L243" s="85"/>
      <c r="M243" s="85"/>
      <c r="N243" s="85">
        <f t="shared" ref="N243" si="292">IFERROR(N242/J242-1, 0)</f>
      </c>
      <c r="O243" s="85">
        <f t="shared" ref="O243" si="293">IFERROR(O242/K242-1, 0)</f>
      </c>
      <c r="P243" s="85">
        <f t="shared" ref="P243" si="294">IFERROR(P242/L242-1, 0)</f>
      </c>
      <c r="Q243" s="85">
        <f t="shared" ref="Q243" si="295">IFERROR(Q242/M242-1, 0)</f>
      </c>
      <c r="R243" s="85">
        <f t="shared" ref="R243" si="296">IFERROR(R242/N242-1, 0)</f>
      </c>
      <c r="S243" s="85">
        <f t="shared" ref="S243" si="297">IFERROR(S242/O242-1, 0)</f>
      </c>
      <c r="T243" s="85">
        <f t="shared" ref="T243" si="298">IFERROR(T242/P242-1, 0)</f>
      </c>
      <c r="U243" s="85">
        <f>IFERROR(U242/Q242-1, 0)</f>
      </c>
      <c r="Y243" s="85">
        <f>IFERROR(Y242/R242-1, 0)</f>
      </c>
      <c r="Z243" s="85">
        <f>IFERROR(Z242/S242-1, 0)</f>
      </c>
      <c r="AA243" s="85">
        <f>IFERROR(AA242/T242-1, 0)</f>
      </c>
      <c r="AB243" s="85">
        <f>IFERROR(AB242/U242-1, 0)</f>
      </c>
      <c r="AC243" s="85">
        <f>IFERROR(AC242/Y242-1, 0)</f>
      </c>
      <c r="AD243" s="85">
        <f t="shared" ref="AD243" si="299">IFERROR(AD242/Z242-1, 0)</f>
      </c>
      <c r="AE243" s="85">
        <f t="shared" ref="AE243" si="300">IFERROR(AE242/AA242-1, 0)</f>
      </c>
      <c r="AF243" s="85">
        <f t="shared" ref="AF243" si="301">IFERROR(AF242/AB242-1, 0)</f>
      </c>
      <c r="AG243" s="85">
        <f t="shared" ref="AG243" si="302">IFERROR(AG242/AC242-1, 0)</f>
      </c>
      <c r="AH243" s="85">
        <f t="shared" ref="AH243" si="303">IFERROR(AH242/AD242-1, 0)</f>
      </c>
    </row>
    <row r="245" spans="3:34" x14ac:dyDescent="0.3">
      <c r="C245" s="2" t="s">
        <v>166</v>
      </c>
      <c r="H245" s="77" t="str">
        <f>'Assumptions&amp;Scenario'!$K$44</f>
      </c>
    </row>
    <row r="246" spans="3:34" x14ac:dyDescent="0.3">
      <c r="D246" s="12" t="str">
        <f>D228</f>
      </c>
      <c r="E246" s="19"/>
      <c r="J246" s="71">
        <f t="shared" ref="J246:U246" si="304">IFERROR(J228*$H$225/J$225, 0)</f>
      </c>
      <c r="K246" s="71">
        <f t="shared" si="304"/>
      </c>
      <c r="L246" s="71">
        <f t="shared" si="304"/>
      </c>
      <c r="M246" s="71">
        <f t="shared" si="304"/>
      </c>
      <c r="N246" s="71">
        <f t="shared" si="304"/>
      </c>
      <c r="O246" s="71">
        <f t="shared" si="304"/>
      </c>
      <c r="P246" s="71">
        <f t="shared" si="304"/>
      </c>
      <c r="Q246" s="71">
        <f t="shared" si="304"/>
      </c>
      <c r="R246" s="71">
        <f t="shared" si="304"/>
      </c>
      <c r="S246" s="71">
        <f t="shared" si="304"/>
      </c>
      <c r="T246" s="71">
        <f t="shared" si="304"/>
      </c>
      <c r="U246" s="71">
        <f t="shared" si="304"/>
      </c>
      <c r="Y246" s="71">
        <f t="shared" ref="Y246:AH246" si="305">IFERROR(Y228*$H$225/Y$225, 0)</f>
      </c>
      <c r="Z246" s="71">
        <f t="shared" ref="Z246:AE246" si="306">IFERROR(Z228*$H$225/Z$225, 0)</f>
      </c>
      <c r="AA246" s="71">
        <f t="shared" si="306"/>
      </c>
      <c r="AB246" s="71">
        <f t="shared" si="306"/>
      </c>
      <c r="AC246" s="71">
        <f t="shared" si="306"/>
      </c>
      <c r="AD246" s="71">
        <f t="shared" si="306"/>
      </c>
      <c r="AE246" s="71">
        <f t="shared" si="306"/>
      </c>
      <c r="AF246" s="71">
        <f t="shared" si="305"/>
      </c>
      <c r="AG246" s="71">
        <f t="shared" si="305"/>
      </c>
      <c r="AH246" s="71">
        <f t="shared" si="305"/>
      </c>
    </row>
    <row r="247" spans="3:34" x14ac:dyDescent="0.3">
      <c r="D247" s="12" t="str">
        <f>D229</f>
      </c>
      <c r="E247" s="19"/>
      <c r="J247" s="71">
        <f t="shared" ref="J247:U247" si="307">IFERROR(J229*$H$225/J$225, 0)</f>
      </c>
      <c r="K247" s="71">
        <f t="shared" si="307"/>
      </c>
      <c r="L247" s="71">
        <f t="shared" si="307"/>
      </c>
      <c r="M247" s="71">
        <f t="shared" si="307"/>
      </c>
      <c r="N247" s="71">
        <f t="shared" si="307"/>
      </c>
      <c r="O247" s="71">
        <f t="shared" si="307"/>
      </c>
      <c r="P247" s="71">
        <f t="shared" si="307"/>
      </c>
      <c r="Q247" s="71">
        <f t="shared" si="307"/>
      </c>
      <c r="R247" s="71">
        <f t="shared" si="307"/>
      </c>
      <c r="S247" s="71">
        <f t="shared" si="307"/>
      </c>
      <c r="T247" s="71">
        <f t="shared" si="307"/>
      </c>
      <c r="U247" s="71">
        <f t="shared" si="307"/>
      </c>
      <c r="Y247" s="71">
        <f t="shared" ref="Y247:AH247" si="308">IFERROR(Y229*$H$225/Y$225, 0)</f>
      </c>
      <c r="Z247" s="71">
        <f t="shared" ref="Z247:AE247" si="309">IFERROR(Z229*$H$225/Z$225, 0)</f>
      </c>
      <c r="AA247" s="71">
        <f t="shared" si="309"/>
      </c>
      <c r="AB247" s="71">
        <f t="shared" si="309"/>
      </c>
      <c r="AC247" s="71">
        <f t="shared" si="309"/>
      </c>
      <c r="AD247" s="71">
        <f t="shared" si="309"/>
      </c>
      <c r="AE247" s="71">
        <f t="shared" si="309"/>
      </c>
      <c r="AF247" s="71">
        <f t="shared" si="308"/>
      </c>
      <c r="AG247" s="71">
        <f t="shared" si="308"/>
      </c>
      <c r="AH247" s="71">
        <f t="shared" si="308"/>
      </c>
    </row>
    <row r="248" spans="3:34" x14ac:dyDescent="0.3">
      <c r="D248" s="12" t="str">
        <f>D230</f>
      </c>
      <c r="E248" s="19"/>
      <c r="J248" s="71">
        <f t="shared" ref="J248:U248" si="310">IFERROR(J230*$H$225/J$225, 0)</f>
      </c>
      <c r="K248" s="71">
        <f t="shared" si="310"/>
      </c>
      <c r="L248" s="71">
        <f t="shared" si="310"/>
      </c>
      <c r="M248" s="71">
        <f t="shared" si="310"/>
      </c>
      <c r="N248" s="71">
        <f t="shared" si="310"/>
      </c>
      <c r="O248" s="71">
        <f t="shared" si="310"/>
      </c>
      <c r="P248" s="71">
        <f t="shared" si="310"/>
      </c>
      <c r="Q248" s="71">
        <f t="shared" si="310"/>
      </c>
      <c r="R248" s="71">
        <f t="shared" si="310"/>
      </c>
      <c r="S248" s="71">
        <f t="shared" si="310"/>
      </c>
      <c r="T248" s="71">
        <f t="shared" si="310"/>
      </c>
      <c r="U248" s="71">
        <f t="shared" si="310"/>
      </c>
      <c r="Y248" s="71">
        <f t="shared" ref="Y248:AH248" si="311">IFERROR(Y230*$H$225/Y$225, 0)</f>
      </c>
      <c r="Z248" s="71">
        <f t="shared" ref="Z248:AE248" si="312">IFERROR(Z230*$H$225/Z$225, 0)</f>
      </c>
      <c r="AA248" s="71">
        <f t="shared" si="312"/>
      </c>
      <c r="AB248" s="71">
        <f t="shared" si="312"/>
      </c>
      <c r="AC248" s="71">
        <f t="shared" si="312"/>
      </c>
      <c r="AD248" s="71">
        <f t="shared" si="312"/>
      </c>
      <c r="AE248" s="71">
        <f t="shared" si="312"/>
      </c>
      <c r="AF248" s="71">
        <f t="shared" si="311"/>
      </c>
      <c r="AG248" s="71">
        <f t="shared" si="311"/>
      </c>
      <c r="AH248" s="71">
        <f t="shared" si="311"/>
      </c>
    </row>
    <row r="249" spans="3:34" x14ac:dyDescent="0.3">
      <c r="D249" s="12" t="str">
        <f>D231</f>
      </c>
      <c r="E249" s="19"/>
      <c r="J249" s="71">
        <f t="shared" ref="J249:U249" si="313">IFERROR(J231*$H$225/J$225, 0)</f>
      </c>
      <c r="K249" s="71">
        <f t="shared" si="313"/>
      </c>
      <c r="L249" s="71">
        <f t="shared" si="313"/>
      </c>
      <c r="M249" s="71">
        <f t="shared" si="313"/>
      </c>
      <c r="N249" s="71">
        <f t="shared" si="313"/>
      </c>
      <c r="O249" s="71">
        <f t="shared" si="313"/>
      </c>
      <c r="P249" s="71">
        <f t="shared" si="313"/>
      </c>
      <c r="Q249" s="71">
        <f t="shared" si="313"/>
      </c>
      <c r="R249" s="71">
        <f t="shared" si="313"/>
      </c>
      <c r="S249" s="71">
        <f t="shared" si="313"/>
      </c>
      <c r="T249" s="71">
        <f t="shared" si="313"/>
      </c>
      <c r="U249" s="71">
        <f t="shared" si="313"/>
      </c>
      <c r="Y249" s="71">
        <f t="shared" ref="Y249:AH249" si="314">IFERROR(Y231*$H$225/Y$225, 0)</f>
      </c>
      <c r="Z249" s="71">
        <f t="shared" ref="Z249:AE249" si="315">IFERROR(Z231*$H$225/Z$225, 0)</f>
      </c>
      <c r="AA249" s="71">
        <f t="shared" si="315"/>
      </c>
      <c r="AB249" s="71">
        <f t="shared" si="315"/>
      </c>
      <c r="AC249" s="71">
        <f t="shared" si="315"/>
      </c>
      <c r="AD249" s="71">
        <f t="shared" si="315"/>
      </c>
      <c r="AE249" s="71">
        <f t="shared" si="315"/>
      </c>
      <c r="AF249" s="71">
        <f t="shared" si="314"/>
      </c>
      <c r="AG249" s="71">
        <f t="shared" si="314"/>
      </c>
      <c r="AH249" s="71">
        <f t="shared" si="314"/>
      </c>
    </row>
    <row r="250" spans="3:34" x14ac:dyDescent="0.3">
      <c r="D250" s="12" t="str">
        <f>D232</f>
      </c>
      <c r="E250" s="19"/>
      <c r="J250" s="71">
        <f t="shared" ref="J250:U250" si="316">IFERROR(J232*$H$225/J$225, 0)</f>
      </c>
      <c r="K250" s="71">
        <f t="shared" si="316"/>
      </c>
      <c r="L250" s="71">
        <f t="shared" si="316"/>
      </c>
      <c r="M250" s="71">
        <f t="shared" si="316"/>
      </c>
      <c r="N250" s="71">
        <f t="shared" si="316"/>
      </c>
      <c r="O250" s="71">
        <f t="shared" si="316"/>
      </c>
      <c r="P250" s="71">
        <f t="shared" si="316"/>
      </c>
      <c r="Q250" s="71">
        <f t="shared" si="316"/>
      </c>
      <c r="R250" s="71">
        <f t="shared" si="316"/>
      </c>
      <c r="S250" s="71">
        <f t="shared" si="316"/>
      </c>
      <c r="T250" s="71">
        <f t="shared" si="316"/>
      </c>
      <c r="U250" s="71">
        <f t="shared" si="316"/>
      </c>
      <c r="Y250" s="71">
        <f>IFERROR(Y232/Y$225, 0)</f>
      </c>
      <c r="Z250" s="71">
        <f t="shared" ref="Z250:AH250" si="317">IFERROR(Z232/Z$225, 0)</f>
      </c>
      <c r="AA250" s="71">
        <f t="shared" si="317"/>
      </c>
      <c r="AB250" s="71">
        <f t="shared" si="317"/>
      </c>
      <c r="AC250" s="71">
        <f t="shared" si="317"/>
      </c>
      <c r="AD250" s="71">
        <f t="shared" si="317"/>
      </c>
      <c r="AE250" s="71">
        <f t="shared" si="317"/>
      </c>
      <c r="AF250" s="71">
        <f t="shared" si="317"/>
      </c>
      <c r="AG250" s="71">
        <f t="shared" si="317"/>
      </c>
      <c r="AH250" s="71">
        <f t="shared" si="317"/>
      </c>
    </row>
    <row r="251" spans="3:34" x14ac:dyDescent="0.3">
      <c r="D251" s="2" t="s">
        <v>222</v>
      </c>
      <c r="E251" s="2"/>
      <c r="J251" s="90">
        <f t="shared" ref="J251:U251" si="318">SUM(J246:J250)</f>
      </c>
      <c r="K251" s="90">
        <f t="shared" si="318"/>
      </c>
      <c r="L251" s="90">
        <f t="shared" si="318"/>
      </c>
      <c r="M251" s="90">
        <f t="shared" si="318"/>
      </c>
      <c r="N251" s="90">
        <f t="shared" si="318"/>
      </c>
      <c r="O251" s="90">
        <f t="shared" si="318"/>
      </c>
      <c r="P251" s="90">
        <f t="shared" si="318"/>
      </c>
      <c r="Q251" s="90">
        <f t="shared" si="318"/>
      </c>
      <c r="R251" s="90">
        <f t="shared" si="318"/>
      </c>
      <c r="S251" s="90">
        <f t="shared" si="318"/>
      </c>
      <c r="T251" s="90">
        <f t="shared" si="318"/>
      </c>
      <c r="U251" s="90">
        <f t="shared" si="318"/>
      </c>
      <c r="Y251" s="90">
        <f t="shared" ref="Y251:AH251" si="319">SUM(Y246:Y250)</f>
      </c>
      <c r="Z251" s="90">
        <f t="shared" si="319"/>
      </c>
      <c r="AA251" s="90">
        <f t="shared" si="319"/>
      </c>
      <c r="AB251" s="90">
        <f t="shared" si="319"/>
      </c>
      <c r="AC251" s="90">
        <f t="shared" si="319"/>
      </c>
      <c r="AD251" s="90">
        <f t="shared" si="319"/>
      </c>
      <c r="AE251" s="90">
        <f t="shared" si="319"/>
      </c>
      <c r="AF251" s="90">
        <f t="shared" si="319"/>
      </c>
      <c r="AG251" s="90">
        <f t="shared" si="319"/>
      </c>
      <c r="AH251" s="90">
        <f t="shared" si="319"/>
      </c>
    </row>
    <row r="252" spans="3:34" ht="3" customHeight="1" x14ac:dyDescent="0.3"/>
    <row r="253" spans="3:34" x14ac:dyDescent="0.3">
      <c r="C253" s="2" t="s">
        <v>378</v>
      </c>
      <c r="D253" s="2"/>
      <c r="H253" s="77" t="str">
        <f>'Assumptions&amp;Scenario'!$K$44</f>
      </c>
    </row>
    <row r="254" spans="3:34" x14ac:dyDescent="0.3">
      <c r="D254" s="12" t="str">
        <f>D236</f>
      </c>
      <c r="E254" s="19"/>
      <c r="J254" s="71">
        <f t="shared" ref="J254:T254" si="320">IFERROR(J236*$H$225/J$225, 0)</f>
      </c>
      <c r="K254" s="71">
        <f t="shared" si="320"/>
      </c>
      <c r="L254" s="71">
        <f t="shared" si="320"/>
      </c>
      <c r="M254" s="71">
        <f t="shared" si="320"/>
      </c>
      <c r="N254" s="71">
        <f t="shared" si="320"/>
      </c>
      <c r="O254" s="71">
        <f t="shared" si="320"/>
      </c>
      <c r="P254" s="71">
        <f t="shared" si="320"/>
      </c>
      <c r="Q254" s="71">
        <f t="shared" si="320"/>
      </c>
      <c r="R254" s="71">
        <f t="shared" si="320"/>
      </c>
      <c r="S254" s="71">
        <f t="shared" si="320"/>
      </c>
      <c r="T254" s="71">
        <f t="shared" si="320"/>
      </c>
      <c r="U254" s="71">
        <f>IFERROR(U236*$H$225/U$225, 0)</f>
      </c>
      <c r="Y254" s="71">
        <f>IFERROR(Y236/Y$225, 0)</f>
      </c>
      <c r="Z254" s="71">
        <f t="shared" ref="Z254:AH254" si="321">IFERROR(Z236/Z$225, 0)</f>
      </c>
      <c r="AA254" s="71">
        <f t="shared" si="321"/>
      </c>
      <c r="AB254" s="71">
        <f t="shared" si="321"/>
      </c>
      <c r="AC254" s="71">
        <f t="shared" si="321"/>
      </c>
      <c r="AD254" s="71">
        <f t="shared" si="321"/>
      </c>
      <c r="AE254" s="71">
        <f t="shared" si="321"/>
      </c>
      <c r="AF254" s="71">
        <f t="shared" si="321"/>
      </c>
      <c r="AG254" s="71">
        <f t="shared" si="321"/>
      </c>
      <c r="AH254" s="71">
        <f t="shared" si="321"/>
      </c>
    </row>
    <row r="255" spans="3:34" x14ac:dyDescent="0.3">
      <c r="D255" s="12" t="str">
        <f>D237</f>
      </c>
      <c r="E255" s="19"/>
      <c r="J255" s="71">
        <f t="shared" ref="J255:T255" si="322">IFERROR(J237*$H$225/J$225, 0)</f>
      </c>
      <c r="K255" s="71">
        <f t="shared" si="322"/>
      </c>
      <c r="L255" s="71">
        <f t="shared" si="322"/>
      </c>
      <c r="M255" s="71">
        <f t="shared" si="322"/>
      </c>
      <c r="N255" s="71">
        <f t="shared" si="322"/>
      </c>
      <c r="O255" s="71">
        <f t="shared" si="322"/>
      </c>
      <c r="P255" s="71">
        <f t="shared" si="322"/>
      </c>
      <c r="Q255" s="71">
        <f t="shared" si="322"/>
      </c>
      <c r="R255" s="71">
        <f t="shared" si="322"/>
      </c>
      <c r="S255" s="71">
        <f t="shared" si="322"/>
      </c>
      <c r="T255" s="71">
        <f t="shared" si="322"/>
      </c>
      <c r="U255" s="71">
        <f t="shared" ref="U255:U258" si="323">IFERROR(U237*$H$225/U$225, 0)</f>
      </c>
      <c r="Y255" s="71">
        <f t="shared" ref="Y255:AH255" si="324">IFERROR(Y237/Y$225, 0)</f>
      </c>
      <c r="Z255" s="71">
        <f t="shared" si="324"/>
      </c>
      <c r="AA255" s="71">
        <f t="shared" si="324"/>
      </c>
      <c r="AB255" s="71">
        <f t="shared" si="324"/>
      </c>
      <c r="AC255" s="71">
        <f t="shared" si="324"/>
      </c>
      <c r="AD255" s="71">
        <f t="shared" si="324"/>
      </c>
      <c r="AE255" s="71">
        <f t="shared" si="324"/>
      </c>
      <c r="AF255" s="71">
        <f t="shared" si="324"/>
      </c>
      <c r="AG255" s="71">
        <f t="shared" si="324"/>
      </c>
      <c r="AH255" s="71">
        <f t="shared" si="324"/>
      </c>
    </row>
    <row r="256" spans="3:34" x14ac:dyDescent="0.3">
      <c r="D256" s="12" t="str">
        <f>D238</f>
      </c>
      <c r="E256" s="19"/>
      <c r="J256" s="71">
        <f t="shared" ref="J256:T256" si="325">IFERROR(J238*$H$225/J$225, 0)</f>
      </c>
      <c r="K256" s="71">
        <f t="shared" si="325"/>
      </c>
      <c r="L256" s="71">
        <f t="shared" si="325"/>
      </c>
      <c r="M256" s="71">
        <f t="shared" si="325"/>
      </c>
      <c r="N256" s="71">
        <f t="shared" si="325"/>
      </c>
      <c r="O256" s="71">
        <f t="shared" si="325"/>
      </c>
      <c r="P256" s="71">
        <f t="shared" si="325"/>
      </c>
      <c r="Q256" s="71">
        <f t="shared" si="325"/>
      </c>
      <c r="R256" s="71">
        <f t="shared" si="325"/>
      </c>
      <c r="S256" s="71">
        <f t="shared" si="325"/>
      </c>
      <c r="T256" s="71">
        <f t="shared" si="325"/>
      </c>
      <c r="U256" s="71">
        <f t="shared" si="323"/>
      </c>
      <c r="Y256" s="71">
        <f t="shared" ref="Y256:AH256" si="326">IFERROR(Y238/Y$225, 0)</f>
      </c>
      <c r="Z256" s="71">
        <f t="shared" si="326"/>
      </c>
      <c r="AA256" s="71">
        <f t="shared" si="326"/>
      </c>
      <c r="AB256" s="71">
        <f t="shared" si="326"/>
      </c>
      <c r="AC256" s="71">
        <f t="shared" si="326"/>
      </c>
      <c r="AD256" s="71">
        <f t="shared" si="326"/>
      </c>
      <c r="AE256" s="71">
        <f t="shared" si="326"/>
      </c>
      <c r="AF256" s="71">
        <f t="shared" si="326"/>
      </c>
      <c r="AG256" s="71">
        <f t="shared" si="326"/>
      </c>
      <c r="AH256" s="71">
        <f t="shared" si="326"/>
      </c>
    </row>
    <row r="257" spans="2:34" x14ac:dyDescent="0.3">
      <c r="D257" s="12" t="str">
        <f>D239</f>
      </c>
      <c r="E257" s="19"/>
      <c r="J257" s="71">
        <f t="shared" ref="J257:T257" si="327">IFERROR(J239*$H$225/J$225, 0)</f>
      </c>
      <c r="K257" s="71">
        <f t="shared" si="327"/>
      </c>
      <c r="L257" s="71">
        <f t="shared" si="327"/>
      </c>
      <c r="M257" s="71">
        <f t="shared" si="327"/>
      </c>
      <c r="N257" s="71">
        <f t="shared" si="327"/>
      </c>
      <c r="O257" s="71">
        <f t="shared" si="327"/>
      </c>
      <c r="P257" s="71">
        <f t="shared" si="327"/>
      </c>
      <c r="Q257" s="71">
        <f t="shared" si="327"/>
      </c>
      <c r="R257" s="71">
        <f t="shared" si="327"/>
      </c>
      <c r="S257" s="71">
        <f t="shared" si="327"/>
      </c>
      <c r="T257" s="71">
        <f t="shared" si="327"/>
      </c>
      <c r="U257" s="71">
        <f t="shared" si="323"/>
      </c>
      <c r="Y257" s="71">
        <f t="shared" ref="Y257:AH257" si="328">IFERROR(Y239/Y$225, 0)</f>
      </c>
      <c r="Z257" s="71">
        <f t="shared" si="328"/>
      </c>
      <c r="AA257" s="71">
        <f t="shared" si="328"/>
      </c>
      <c r="AB257" s="71">
        <f t="shared" si="328"/>
      </c>
      <c r="AC257" s="71">
        <f t="shared" si="328"/>
      </c>
      <c r="AD257" s="71">
        <f t="shared" si="328"/>
      </c>
      <c r="AE257" s="71">
        <f t="shared" si="328"/>
      </c>
      <c r="AF257" s="71">
        <f t="shared" si="328"/>
      </c>
      <c r="AG257" s="71">
        <f t="shared" si="328"/>
      </c>
      <c r="AH257" s="71">
        <f t="shared" si="328"/>
      </c>
    </row>
    <row r="258" spans="2:34" x14ac:dyDescent="0.3">
      <c r="D258" s="12" t="str">
        <f>D240</f>
      </c>
      <c r="E258" s="19"/>
      <c r="J258" s="71">
        <f t="shared" ref="J258:T258" si="329">IFERROR(J240*$H$225/J$225, 0)</f>
      </c>
      <c r="K258" s="71">
        <f t="shared" si="329"/>
      </c>
      <c r="L258" s="71">
        <f t="shared" si="329"/>
      </c>
      <c r="M258" s="71">
        <f t="shared" si="329"/>
      </c>
      <c r="N258" s="71">
        <f t="shared" si="329"/>
      </c>
      <c r="O258" s="71">
        <f t="shared" si="329"/>
      </c>
      <c r="P258" s="71">
        <f t="shared" si="329"/>
      </c>
      <c r="Q258" s="71">
        <f t="shared" si="329"/>
      </c>
      <c r="R258" s="71">
        <f t="shared" si="329"/>
      </c>
      <c r="S258" s="71">
        <f t="shared" si="329"/>
      </c>
      <c r="T258" s="71">
        <f t="shared" si="329"/>
      </c>
      <c r="U258" s="71">
        <f t="shared" si="323"/>
      </c>
      <c r="Y258" s="71">
        <f t="shared" ref="Y258:AH258" si="330">IFERROR(Y240/Y$225, 0)</f>
      </c>
      <c r="Z258" s="71">
        <f t="shared" si="330"/>
      </c>
      <c r="AA258" s="71">
        <f t="shared" si="330"/>
      </c>
      <c r="AB258" s="71">
        <f t="shared" si="330"/>
      </c>
      <c r="AC258" s="71">
        <f t="shared" si="330"/>
      </c>
      <c r="AD258" s="71">
        <f t="shared" si="330"/>
      </c>
      <c r="AE258" s="71">
        <f t="shared" si="330"/>
      </c>
      <c r="AF258" s="71">
        <f t="shared" si="330"/>
      </c>
      <c r="AG258" s="71">
        <f t="shared" si="330"/>
      </c>
      <c r="AH258" s="71">
        <f t="shared" si="330"/>
      </c>
    </row>
    <row r="259" spans="2:34" ht="15" thickBot="1" x14ac:dyDescent="0.35">
      <c r="D259" s="2" t="s">
        <v>226</v>
      </c>
      <c r="E259" s="2"/>
      <c r="H259" s="77"/>
      <c r="J259" s="90">
        <f t="shared" ref="J259:U259" si="331">SUM(J254:J258)</f>
      </c>
      <c r="K259" s="90">
        <f t="shared" si="331"/>
      </c>
      <c r="L259" s="90">
        <f t="shared" si="331"/>
      </c>
      <c r="M259" s="90">
        <f t="shared" si="331"/>
      </c>
      <c r="N259" s="90">
        <f t="shared" si="331"/>
      </c>
      <c r="O259" s="90">
        <f t="shared" si="331"/>
      </c>
      <c r="P259" s="90">
        <f t="shared" si="331"/>
      </c>
      <c r="Q259" s="90">
        <f t="shared" si="331"/>
      </c>
      <c r="R259" s="90">
        <f t="shared" si="331"/>
      </c>
      <c r="S259" s="90">
        <f t="shared" si="331"/>
      </c>
      <c r="T259" s="90">
        <f t="shared" si="331"/>
      </c>
      <c r="U259" s="90">
        <f t="shared" si="331"/>
      </c>
      <c r="Y259" s="90">
        <f t="shared" ref="Y259:AH259" si="332">SUM(Y254:Y258)</f>
      </c>
      <c r="Z259" s="90">
        <f t="shared" si="332"/>
      </c>
      <c r="AA259" s="90">
        <f t="shared" si="332"/>
      </c>
      <c r="AB259" s="90">
        <f t="shared" si="332"/>
      </c>
      <c r="AC259" s="90">
        <f t="shared" si="332"/>
      </c>
      <c r="AD259" s="90">
        <f t="shared" si="332"/>
      </c>
      <c r="AE259" s="90">
        <f t="shared" si="332"/>
      </c>
      <c r="AF259" s="90">
        <f t="shared" si="332"/>
      </c>
      <c r="AG259" s="90">
        <f t="shared" si="332"/>
      </c>
      <c r="AH259" s="90">
        <f t="shared" si="332"/>
      </c>
    </row>
    <row r="260" spans="2:34" ht="15" thickBot="1" x14ac:dyDescent="0.35">
      <c r="C260" s="2" t="s">
        <v>613</v>
      </c>
      <c r="D260" s="2"/>
      <c r="H260" s="77" t="str">
        <f>'Assumptions&amp;Scenario'!$K$44</f>
      </c>
      <c r="J260" s="110">
        <f t="shared" ref="J260:U260" si="333">J259+J251</f>
      </c>
      <c r="K260" s="110">
        <f t="shared" si="333"/>
      </c>
      <c r="L260" s="110">
        <f t="shared" si="333"/>
      </c>
      <c r="M260" s="110">
        <f t="shared" si="333"/>
      </c>
      <c r="N260" s="110">
        <f t="shared" si="333"/>
      </c>
      <c r="O260" s="110">
        <f t="shared" si="333"/>
      </c>
      <c r="P260" s="110">
        <f t="shared" si="333"/>
      </c>
      <c r="Q260" s="110">
        <f t="shared" si="333"/>
      </c>
      <c r="R260" s="110">
        <f t="shared" si="333"/>
      </c>
      <c r="S260" s="110">
        <f t="shared" si="333"/>
      </c>
      <c r="T260" s="110">
        <f t="shared" si="333"/>
      </c>
      <c r="U260" s="110">
        <f t="shared" si="333"/>
      </c>
      <c r="Y260" s="110">
        <f t="shared" ref="Y260:AH260" si="334">Y259+Y251</f>
      </c>
      <c r="Z260" s="110">
        <f t="shared" si="334"/>
      </c>
      <c r="AA260" s="110">
        <f t="shared" si="334"/>
      </c>
      <c r="AB260" s="110">
        <f t="shared" si="334"/>
      </c>
      <c r="AC260" s="110">
        <f t="shared" si="334"/>
      </c>
      <c r="AD260" s="110">
        <f t="shared" si="334"/>
      </c>
      <c r="AE260" s="110">
        <f t="shared" si="334"/>
      </c>
      <c r="AF260" s="110">
        <f t="shared" si="334"/>
      </c>
      <c r="AG260" s="110">
        <f t="shared" si="334"/>
      </c>
      <c r="AH260" s="110">
        <f t="shared" si="334"/>
      </c>
    </row>
    <row r="261" spans="2:34" ht="15" thickTop="1" x14ac:dyDescent="0.3">
      <c r="D261" s="78" t="s">
        <v>225</v>
      </c>
      <c r="K261" s="85"/>
      <c r="L261" s="85"/>
      <c r="M261" s="85"/>
      <c r="N261" s="85">
        <f t="shared" ref="N261:T261" si="335">IFERROR(N260/J260-1, 0)</f>
      </c>
      <c r="O261" s="85">
        <f t="shared" si="335"/>
      </c>
      <c r="P261" s="85">
        <f t="shared" si="335"/>
      </c>
      <c r="Q261" s="85">
        <f t="shared" si="335"/>
      </c>
      <c r="R261" s="85">
        <f t="shared" si="335"/>
      </c>
      <c r="S261" s="85">
        <f t="shared" si="335"/>
      </c>
      <c r="T261" s="85">
        <f t="shared" si="335"/>
      </c>
      <c r="U261" s="85">
        <f>IFERROR(U260/Q260-1, 0)</f>
      </c>
      <c r="Y261" s="85">
        <f>IFERROR(Y260/R260-1, 0)</f>
      </c>
      <c r="Z261" s="85">
        <f t="shared" ref="Z261:AB261" si="336">IFERROR(Z260/S260-1, 0)</f>
      </c>
      <c r="AA261" s="85">
        <f t="shared" si="336"/>
      </c>
      <c r="AB261" s="85">
        <f t="shared" si="336"/>
      </c>
      <c r="AC261" s="85">
        <f>IFERROR(AC260/Y260-1, 0)</f>
      </c>
      <c r="AD261" s="85">
        <f t="shared" ref="AD261:AH261" si="337">IFERROR(AD260/Z260-1, 0)</f>
      </c>
      <c r="AE261" s="85">
        <f t="shared" si="337"/>
      </c>
      <c r="AF261" s="85">
        <f t="shared" si="337"/>
      </c>
      <c r="AG261" s="85">
        <f t="shared" si="337"/>
      </c>
      <c r="AH261" s="85">
        <f t="shared" si="337"/>
      </c>
    </row>
    <row r="263" spans="2:34" x14ac:dyDescent="0.3">
      <c r="C263" s="2" t="s">
        <v>229</v>
      </c>
    </row>
    <row r="264" spans="2:34" x14ac:dyDescent="0.3">
      <c r="D264" t="s">
        <v>302</v>
      </c>
      <c r="L264" s="58"/>
      <c r="M264" s="58"/>
      <c r="N264" s="58"/>
      <c r="O264" s="58"/>
      <c r="P264" s="58"/>
      <c r="Q264" s="58"/>
      <c r="R264" s="58">
        <f t="shared" ref="R264:T264" si="338">IFERROR((R251/J251)^0.5-1, 0)</f>
      </c>
      <c r="S264" s="58">
        <f t="shared" si="338"/>
      </c>
      <c r="T264" s="58">
        <f t="shared" si="338"/>
      </c>
      <c r="U264" s="58">
        <f>IFERROR((U251/M251)^0.5-1, 0)</f>
      </c>
      <c r="Y264" s="58">
        <f>IFERROR((Y251/N251)^0.5-1, 0)</f>
      </c>
      <c r="Z264" s="58">
        <f t="shared" ref="Z264:AF264" si="339">IFERROR((Z251/O251)^0.5-1, 0)</f>
      </c>
      <c r="AA264" s="58">
        <f t="shared" si="339"/>
      </c>
      <c r="AB264" s="58">
        <f t="shared" si="339"/>
      </c>
      <c r="AC264" s="58">
        <f t="shared" si="339"/>
      </c>
      <c r="AD264" s="58">
        <f t="shared" si="339"/>
      </c>
      <c r="AE264" s="58">
        <f t="shared" si="339"/>
      </c>
      <c r="AF264" s="58">
        <f t="shared" si="339"/>
      </c>
      <c r="AG264" s="58">
        <f>IFERROR((AG251/Y251)^0.5-1, 0)</f>
      </c>
      <c r="AH264" s="58">
        <f>IFERROR((AH251/Z251)^0.5-1, 0)</f>
      </c>
    </row>
    <row r="266" spans="2:34" x14ac:dyDescent="0.3">
      <c r="C266" s="2" t="s">
        <v>298</v>
      </c>
    </row>
    <row r="267" spans="2:34" x14ac:dyDescent="0.3">
      <c r="D267" t="s">
        <v>302</v>
      </c>
      <c r="L267" s="58"/>
      <c r="M267" s="58"/>
      <c r="N267" s="58"/>
      <c r="O267" s="58"/>
      <c r="P267" s="58"/>
      <c r="Q267" s="58"/>
      <c r="R267" s="58">
        <f>IFERROR((R241/J241)^0.5-1, 0)</f>
      </c>
      <c r="S267" s="58">
        <f>IFERROR((S241/K241)^0.5-1, 0)</f>
      </c>
      <c r="T267" s="58">
        <f>IFERROR((T241/L241)^0.5-1, 0)</f>
      </c>
      <c r="U267" s="58">
        <f>IFERROR((U241/M241)^0.5-1, 0)</f>
      </c>
      <c r="Y267" s="58">
        <f t="shared" ref="Y267:AF267" si="340">IFERROR((Y241/N241)^0.5-1, 0)</f>
      </c>
      <c r="Z267" s="58">
        <f t="shared" si="340"/>
      </c>
      <c r="AA267" s="58">
        <f t="shared" si="340"/>
      </c>
      <c r="AB267" s="58">
        <f t="shared" si="340"/>
      </c>
      <c r="AC267" s="58">
        <f t="shared" si="340"/>
      </c>
      <c r="AD267" s="58">
        <f t="shared" si="340"/>
      </c>
      <c r="AE267" s="58">
        <f t="shared" si="340"/>
      </c>
      <c r="AF267" s="58">
        <f t="shared" si="340"/>
      </c>
      <c r="AG267" s="58">
        <f>IFERROR((AG241/Y241)^0.5-1, 0)</f>
      </c>
      <c r="AH267" s="58">
        <f>IFERROR((AH241/Z241)^0.5-1, 0)</f>
      </c>
    </row>
    <row r="270" spans="2:34" ht="18" x14ac:dyDescent="0.35">
      <c r="B270" s="148" t="str">
        <f>'Assumptions&amp;Scenario'!$K$10</f>
      </c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</row>
    <row r="271" spans="2:34" ht="18" thickBot="1" x14ac:dyDescent="0.35">
      <c r="B271" s="47" t="s">
        <v>297</v>
      </c>
      <c r="C271" s="48"/>
      <c r="D271" s="48"/>
      <c r="E271" s="48"/>
      <c r="F271" s="48"/>
      <c r="G271" s="48"/>
      <c r="H271" s="49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Y271" s="47" t="s">
        <v>309</v>
      </c>
      <c r="Z271" s="48"/>
      <c r="AA271" s="48"/>
      <c r="AB271" s="48"/>
      <c r="AC271" s="48"/>
      <c r="AD271" s="48"/>
      <c r="AE271" s="48"/>
      <c r="AF271" s="48"/>
      <c r="AG271" s="48"/>
      <c r="AH271" s="48"/>
    </row>
    <row r="272" spans="2:34" x14ac:dyDescent="0.3">
      <c r="C272" s="2"/>
      <c r="D272" s="2"/>
      <c r="E272" s="2"/>
      <c r="F272" s="2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</row>
    <row r="273" spans="3:34" ht="15.6" x14ac:dyDescent="0.3">
      <c r="C273" s="43" t="s">
        <v>389</v>
      </c>
      <c r="D273" s="43"/>
      <c r="E273" s="43"/>
      <c r="F273" s="43"/>
      <c r="G273" s="43"/>
      <c r="H273" s="44"/>
      <c r="I273" s="44"/>
      <c r="J273" s="44" t="str">
        <f>"FY"&amp;TEXT(RIGHT(K273,2)-(COLUMN(K273)-COLUMN()),"00")</f>
      </c>
      <c r="K273" s="44" t="str">
        <f t="shared" ref="K273" si="341">"FY"&amp;TEXT(RIGHT(L273,2)-(COLUMN(L273)-COLUMN()),"00")</f>
      </c>
      <c r="L273" s="79" t="str">
        <f t="shared" ref="L273" si="342">"FY"&amp;TEXT(RIGHT(M273,2)-(COLUMN(M273)-COLUMN()),"00")</f>
      </c>
      <c r="M273" s="79" t="str">
        <f t="shared" ref="M273" si="343">"FY"&amp;TEXT(RIGHT(N273,2)-(COLUMN(N273)-COLUMN()),"00")</f>
      </c>
      <c r="N273" s="79" t="str">
        <f t="shared" ref="N273" si="344">"FY"&amp;TEXT(RIGHT(O273,2)-(COLUMN(O273)-COLUMN()),"00")</f>
      </c>
      <c r="O273" s="79" t="str">
        <f t="shared" ref="O273" si="345">"FY"&amp;TEXT(RIGHT(P273,2)-(COLUMN(P273)-COLUMN()),"00")</f>
      </c>
      <c r="P273" s="79" t="str">
        <f t="shared" ref="P273" si="346">"FY"&amp;TEXT(RIGHT(Q273,2)-(COLUMN(Q273)-COLUMN()),"00")</f>
      </c>
      <c r="Q273" s="79" t="str">
        <f t="shared" ref="Q273" si="347">"FY"&amp;TEXT(RIGHT(R273,2)-(COLUMN(R273)-COLUMN()),"00")</f>
      </c>
      <c r="R273" s="79" t="str">
        <f t="shared" ref="R273" si="348">"FY"&amp;TEXT(RIGHT(S273,2)-(COLUMN(S273)-COLUMN()),"00")</f>
      </c>
      <c r="S273" s="79" t="str">
        <f t="shared" ref="S273" si="349">"FY"&amp;TEXT(RIGHT(T273,2)-(COLUMN(T273)-COLUMN()),"00")</f>
      </c>
      <c r="T273" s="79" t="str">
        <f t="shared" ref="T273" si="350">"FY"&amp;TEXT(RIGHT(U273,2)-(COLUMN(U273)-COLUMN()),"00")</f>
      </c>
      <c r="U273" s="79" t="str">
        <f>"FY"&amp;TEXT(DATE(YEAR('Data Sheet'!$K$16)+(MONTH('Data Sheet'!$K$16)&gt;3),1,1),"YY")</f>
      </c>
      <c r="Y273" s="44" t="str">
        <f>Model!$L$6</f>
      </c>
      <c r="Z273" s="44" t="str">
        <f t="shared" ref="Z273" si="351">"FY"&amp;TEXT(RIGHT(Y273,2)+COLUMN()-COLUMN(Y273),"00")</f>
      </c>
      <c r="AA273" s="44" t="str">
        <f t="shared" ref="AA273" si="352">"FY"&amp;TEXT(RIGHT(Z273,2)+COLUMN()-COLUMN(Z273),"00")</f>
      </c>
      <c r="AB273" s="44" t="str">
        <f t="shared" ref="AB273" si="353">"FY"&amp;TEXT(RIGHT(AA273,2)+COLUMN()-COLUMN(AA273),"00")</f>
      </c>
      <c r="AC273" s="44" t="str">
        <f t="shared" ref="AC273" si="354">"FY"&amp;TEXT(RIGHT(AB273,2)+COLUMN()-COLUMN(AB273),"00")</f>
      </c>
      <c r="AD273" s="44" t="str">
        <f t="shared" ref="AD273" si="355">"FY"&amp;TEXT(RIGHT(AC273,2)+COLUMN()-COLUMN(AC273),"00")</f>
      </c>
      <c r="AE273" s="44" t="str">
        <f t="shared" ref="AE273" si="356">"FY"&amp;TEXT(RIGHT(AD273,2)+COLUMN()-COLUMN(AD273),"00")</f>
      </c>
      <c r="AF273" s="44" t="str">
        <f t="shared" ref="AF273" si="357">"FY"&amp;TEXT(RIGHT(AE273,2)+COLUMN()-COLUMN(AE273),"00")</f>
      </c>
      <c r="AG273" s="44" t="str">
        <f t="shared" ref="AG273" si="358">"FY"&amp;TEXT(RIGHT(AF273,2)+COLUMN()-COLUMN(AF273),"00")</f>
      </c>
      <c r="AH273" s="44" t="str">
        <f t="shared" ref="AH273" si="359">"FY"&amp;TEXT(RIGHT(AG273,2)+COLUMN()-COLUMN(AG273),"00")</f>
      </c>
    </row>
    <row r="274" spans="3:34" ht="3" customHeight="1" x14ac:dyDescent="0.3"/>
    <row r="275" spans="3:34" ht="3" customHeight="1" x14ac:dyDescent="0.3"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3:34" ht="3" customHeight="1" x14ac:dyDescent="0.3"/>
    <row r="277" spans="3:34" ht="18" x14ac:dyDescent="0.35">
      <c r="C277" s="24" t="s">
        <v>379</v>
      </c>
      <c r="J277" s="249">
        <f t="shared" ref="J277:U277" si="360">J40</f>
      </c>
      <c r="K277" s="249">
        <f t="shared" si="360"/>
      </c>
      <c r="L277" s="249">
        <f t="shared" si="360"/>
      </c>
      <c r="M277" s="249">
        <f t="shared" si="360"/>
      </c>
      <c r="N277" s="249">
        <f t="shared" si="360"/>
      </c>
      <c r="O277" s="249">
        <f t="shared" si="360"/>
      </c>
      <c r="P277" s="249">
        <f t="shared" si="360"/>
      </c>
      <c r="Q277" s="249">
        <f t="shared" si="360"/>
      </c>
      <c r="R277" s="249">
        <f t="shared" si="360"/>
      </c>
      <c r="S277" s="249">
        <f t="shared" si="360"/>
      </c>
      <c r="T277" s="249">
        <f t="shared" si="360"/>
      </c>
      <c r="U277" s="249">
        <f t="shared" si="360"/>
      </c>
      <c r="Y277" s="109">
        <f t="shared" ref="Y277:AH277" si="361">Y40</f>
      </c>
      <c r="Z277" s="109">
        <f t="shared" si="361"/>
      </c>
      <c r="AA277" s="109">
        <f t="shared" si="361"/>
      </c>
      <c r="AB277" s="109">
        <f t="shared" si="361"/>
      </c>
      <c r="AC277" s="109">
        <f t="shared" si="361"/>
      </c>
      <c r="AD277" s="109">
        <f t="shared" si="361"/>
      </c>
      <c r="AE277" s="109">
        <f t="shared" si="361"/>
      </c>
      <c r="AF277" s="109">
        <f t="shared" si="361"/>
      </c>
      <c r="AG277" s="109">
        <f t="shared" si="361"/>
      </c>
      <c r="AH277" s="109">
        <f t="shared" si="361"/>
      </c>
    </row>
    <row r="278" spans="3:34" ht="3" customHeight="1" x14ac:dyDescent="0.3"/>
    <row r="279" spans="3:34" x14ac:dyDescent="0.3">
      <c r="D279" t="s">
        <v>300</v>
      </c>
      <c r="T279" s="58">
        <f>IFERROR((T277/J277)^0.1-1, 0)</f>
      </c>
      <c r="U279" s="58">
        <f>IFERROR((U277/K277)^0.1-1, 0)</f>
      </c>
      <c r="Y279" s="58">
        <f t="shared" ref="Y279:AH279" si="362">IFERROR((Y277/L277)^0.1-1, 0)</f>
      </c>
      <c r="Z279" s="58">
        <f t="shared" si="362"/>
      </c>
      <c r="AA279" s="58">
        <f t="shared" si="362"/>
      </c>
      <c r="AB279" s="58">
        <f t="shared" si="362"/>
      </c>
      <c r="AC279" s="58">
        <f t="shared" si="362"/>
      </c>
      <c r="AD279" s="58">
        <f t="shared" si="362"/>
      </c>
      <c r="AE279" s="58">
        <f t="shared" si="362"/>
      </c>
      <c r="AF279" s="58">
        <f t="shared" si="362"/>
      </c>
      <c r="AG279" s="58">
        <f t="shared" si="362"/>
      </c>
      <c r="AH279" s="58">
        <f t="shared" si="362"/>
      </c>
    </row>
    <row r="280" spans="3:34" x14ac:dyDescent="0.3">
      <c r="D280" t="s">
        <v>301</v>
      </c>
      <c r="O280" s="58">
        <f t="shared" ref="O280:U280" si="363">IFERROR((O277/J277)^0.2-1, 0)</f>
      </c>
      <c r="P280" s="58">
        <f t="shared" si="363"/>
      </c>
      <c r="Q280" s="58">
        <f t="shared" si="363"/>
      </c>
      <c r="R280" s="58">
        <f t="shared" si="363"/>
      </c>
      <c r="S280" s="58">
        <f t="shared" si="363"/>
      </c>
      <c r="T280" s="58">
        <f t="shared" si="363"/>
      </c>
      <c r="U280" s="58">
        <f t="shared" si="363"/>
      </c>
      <c r="Y280" s="58">
        <f>IFERROR((Y277/Q277)^0.2-1, 0)</f>
      </c>
      <c r="Z280" s="58">
        <f>IFERROR((Z277/R277)^0.2-1, 0)</f>
      </c>
      <c r="AA280" s="58">
        <f>IFERROR((AA277/S277)^0.2-1, 0)</f>
      </c>
      <c r="AB280" s="58">
        <f>IFERROR((AB277/T277)^0.2-1, 0)</f>
      </c>
      <c r="AC280" s="58">
        <f>IFERROR((AC277/U277)^0.2-1, 0)</f>
      </c>
      <c r="AD280" s="58">
        <f>IFERROR((AD277/Y277)^0.2-1, 0)</f>
      </c>
      <c r="AE280" s="58">
        <f>IFERROR((AE277/Z277)^0.2-1, 0)</f>
      </c>
      <c r="AF280" s="58">
        <f>IFERROR((AF277/AA277)^0.2-1, 0)</f>
      </c>
      <c r="AG280" s="58">
        <f>IFERROR((AG277/AB277)^0.2-1, 0)</f>
      </c>
      <c r="AH280" s="58">
        <f>IFERROR((AH277/AC277)^0.2-1, 0)</f>
      </c>
    </row>
    <row r="281" spans="3:34" x14ac:dyDescent="0.3">
      <c r="D281" t="s">
        <v>302</v>
      </c>
      <c r="L281" s="58">
        <f t="shared" ref="L281:U281" si="364">IFERROR((L277/J277)^0.5-1, 0)</f>
      </c>
      <c r="M281" s="58">
        <f t="shared" si="364"/>
      </c>
      <c r="N281" s="58">
        <f t="shared" si="364"/>
      </c>
      <c r="O281" s="58">
        <f t="shared" si="364"/>
      </c>
      <c r="P281" s="58">
        <f t="shared" si="364"/>
      </c>
      <c r="Q281" s="58">
        <f t="shared" si="364"/>
      </c>
      <c r="R281" s="58">
        <f t="shared" si="364"/>
      </c>
      <c r="S281" s="58">
        <f t="shared" si="364"/>
      </c>
      <c r="T281" s="58">
        <f t="shared" si="364"/>
      </c>
      <c r="U281" s="58">
        <f t="shared" si="364"/>
      </c>
      <c r="Y281" s="58">
        <f>IFERROR((Y277/T277)^0.5-1, 0)</f>
      </c>
      <c r="Z281" s="58">
        <f>IFERROR((Z277/U277)^0.5-1, 0)</f>
      </c>
      <c r="AA281" s="58">
        <f t="shared" ref="AA281:AH281" si="365">IFERROR((AA277/Y277)^0.5-1, 0)</f>
      </c>
      <c r="AB281" s="58">
        <f t="shared" si="365"/>
      </c>
      <c r="AC281" s="58">
        <f t="shared" si="365"/>
      </c>
      <c r="AD281" s="58">
        <f t="shared" si="365"/>
      </c>
      <c r="AE281" s="58">
        <f t="shared" si="365"/>
      </c>
      <c r="AF281" s="58">
        <f t="shared" si="365"/>
      </c>
      <c r="AG281" s="58">
        <f t="shared" si="365"/>
      </c>
      <c r="AH281" s="58">
        <f t="shared" si="365"/>
      </c>
    </row>
    <row r="282" spans="3:34" x14ac:dyDescent="0.3"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</row>
    <row r="283" spans="3:34" ht="18" x14ac:dyDescent="0.35">
      <c r="C283" s="24" t="s">
        <v>380</v>
      </c>
    </row>
    <row r="284" spans="3:34" ht="3" customHeight="1" x14ac:dyDescent="0.3"/>
    <row r="285" spans="3:34" ht="18" x14ac:dyDescent="0.35">
      <c r="C285" s="2" t="s">
        <v>222</v>
      </c>
      <c r="D285" s="24"/>
      <c r="J285" s="249">
        <f t="shared" ref="J285:U285" si="366">J204</f>
      </c>
      <c r="K285" s="249">
        <f t="shared" si="366"/>
      </c>
      <c r="L285" s="249">
        <f t="shared" si="366"/>
      </c>
      <c r="M285" s="249">
        <f t="shared" si="366"/>
      </c>
      <c r="N285" s="249">
        <f t="shared" si="366"/>
      </c>
      <c r="O285" s="249">
        <f t="shared" si="366"/>
      </c>
      <c r="P285" s="249">
        <f t="shared" si="366"/>
      </c>
      <c r="Q285" s="249">
        <f t="shared" si="366"/>
      </c>
      <c r="R285" s="249">
        <f t="shared" si="366"/>
      </c>
      <c r="S285" s="249">
        <f t="shared" si="366"/>
      </c>
      <c r="T285" s="249">
        <f t="shared" si="366"/>
      </c>
      <c r="U285" s="249">
        <f t="shared" si="366"/>
      </c>
      <c r="Y285" s="109">
        <f t="shared" ref="Y285:AH285" si="367">Y204</f>
      </c>
      <c r="Z285" s="109">
        <f t="shared" si="367"/>
      </c>
      <c r="AA285" s="109">
        <f t="shared" si="367"/>
      </c>
      <c r="AB285" s="109">
        <f t="shared" si="367"/>
      </c>
      <c r="AC285" s="109">
        <f t="shared" si="367"/>
      </c>
      <c r="AD285" s="109">
        <f t="shared" si="367"/>
      </c>
      <c r="AE285" s="109">
        <f t="shared" si="367"/>
      </c>
      <c r="AF285" s="109">
        <f t="shared" si="367"/>
      </c>
      <c r="AG285" s="109">
        <f t="shared" si="367"/>
      </c>
      <c r="AH285" s="109">
        <f t="shared" si="367"/>
      </c>
    </row>
    <row r="286" spans="3:34" x14ac:dyDescent="0.3">
      <c r="D286" t="s">
        <v>300</v>
      </c>
      <c r="T286" s="58">
        <f>IFERROR((T285/J285)^0.1-1, 0)</f>
      </c>
      <c r="U286" s="58">
        <f>IFERROR((U285/K285)^0.1-1, 0)</f>
      </c>
      <c r="Y286" s="58">
        <f t="shared" ref="Y286:AH286" si="368">IFERROR((Y285/L285)^0.1-1, 0)</f>
      </c>
      <c r="Z286" s="58">
        <f t="shared" si="368"/>
      </c>
      <c r="AA286" s="58">
        <f t="shared" si="368"/>
      </c>
      <c r="AB286" s="58">
        <f t="shared" si="368"/>
      </c>
      <c r="AC286" s="58">
        <f t="shared" si="368"/>
      </c>
      <c r="AD286" s="58">
        <f t="shared" si="368"/>
      </c>
      <c r="AE286" s="58">
        <f t="shared" si="368"/>
      </c>
      <c r="AF286" s="58">
        <f t="shared" si="368"/>
      </c>
      <c r="AG286" s="58">
        <f t="shared" si="368"/>
      </c>
      <c r="AH286" s="58">
        <f t="shared" si="368"/>
      </c>
    </row>
    <row r="287" spans="3:34" x14ac:dyDescent="0.3">
      <c r="D287" t="s">
        <v>301</v>
      </c>
      <c r="O287" s="58">
        <f t="shared" ref="O287:U287" si="369">IFERROR((O285/J285)^0.2-1, 0)</f>
      </c>
      <c r="P287" s="58">
        <f t="shared" si="369"/>
      </c>
      <c r="Q287" s="58">
        <f t="shared" si="369"/>
      </c>
      <c r="R287" s="58">
        <f t="shared" si="369"/>
      </c>
      <c r="S287" s="58">
        <f t="shared" si="369"/>
      </c>
      <c r="T287" s="58">
        <f t="shared" si="369"/>
      </c>
      <c r="U287" s="58">
        <f t="shared" si="369"/>
      </c>
      <c r="Y287" s="58">
        <f>IFERROR((Y285/Q285)^0.2-1, 0)</f>
      </c>
      <c r="Z287" s="58">
        <f>IFERROR((Z285/R285)^0.2-1, 0)</f>
      </c>
      <c r="AA287" s="58">
        <f>IFERROR((AA285/S285)^0.2-1, 0)</f>
      </c>
      <c r="AB287" s="58">
        <f>IFERROR((AB285/T285)^0.2-1, 0)</f>
      </c>
      <c r="AC287" s="58">
        <f>IFERROR((AC285/U285)^0.2-1, 0)</f>
      </c>
      <c r="AD287" s="58">
        <f>IFERROR((AD285/Y285)^0.2-1, 0)</f>
      </c>
      <c r="AE287" s="58">
        <f>IFERROR((AE285/Z285)^0.2-1, 0)</f>
      </c>
      <c r="AF287" s="58">
        <f>IFERROR((AF285/AA285)^0.2-1, 0)</f>
      </c>
      <c r="AG287" s="58">
        <f>IFERROR((AG285/AB285)^0.2-1, 0)</f>
      </c>
      <c r="AH287" s="58">
        <f>IFERROR((AH285/AC285)^0.2-1, 0)</f>
      </c>
    </row>
    <row r="288" spans="3:34" x14ac:dyDescent="0.3">
      <c r="D288" t="s">
        <v>302</v>
      </c>
      <c r="L288" s="58">
        <f t="shared" ref="L288:U288" si="370">IFERROR((L285/J285)^0.5-1, 0)</f>
      </c>
      <c r="M288" s="58">
        <f t="shared" si="370"/>
      </c>
      <c r="N288" s="58">
        <f t="shared" si="370"/>
      </c>
      <c r="O288" s="58">
        <f t="shared" si="370"/>
      </c>
      <c r="P288" s="58">
        <f t="shared" si="370"/>
      </c>
      <c r="Q288" s="58">
        <f t="shared" si="370"/>
      </c>
      <c r="R288" s="58">
        <f t="shared" si="370"/>
      </c>
      <c r="S288" s="58">
        <f t="shared" si="370"/>
      </c>
      <c r="T288" s="58">
        <f t="shared" si="370"/>
      </c>
      <c r="U288" s="58">
        <f t="shared" si="370"/>
      </c>
      <c r="Y288" s="58">
        <f>IFERROR((Y285/T285)^0.5-1, 0)</f>
      </c>
      <c r="Z288" s="58">
        <f>IFERROR((Z285/U285)^0.5-1, 0)</f>
      </c>
      <c r="AA288" s="58">
        <f t="shared" ref="AA288:AH288" si="371">IFERROR((AA285/Y285)^0.5-1, 0)</f>
      </c>
      <c r="AB288" s="58">
        <f t="shared" si="371"/>
      </c>
      <c r="AC288" s="58">
        <f t="shared" si="371"/>
      </c>
      <c r="AD288" s="58">
        <f t="shared" si="371"/>
      </c>
      <c r="AE288" s="58">
        <f t="shared" si="371"/>
      </c>
      <c r="AF288" s="58">
        <f t="shared" si="371"/>
      </c>
      <c r="AG288" s="58">
        <f t="shared" si="371"/>
      </c>
      <c r="AH288" s="58">
        <f t="shared" si="371"/>
      </c>
    </row>
    <row r="289" spans="3:34" ht="3" customHeight="1" x14ac:dyDescent="0.3"/>
    <row r="290" spans="3:34" x14ac:dyDescent="0.3">
      <c r="C290" s="2" t="s">
        <v>299</v>
      </c>
      <c r="J290" s="90">
        <f t="shared" ref="J290:U290" si="372">J194</f>
      </c>
      <c r="K290" s="90">
        <f t="shared" si="372"/>
      </c>
      <c r="L290" s="90">
        <f t="shared" si="372"/>
      </c>
      <c r="M290" s="90">
        <f t="shared" si="372"/>
      </c>
      <c r="N290" s="90">
        <f t="shared" si="372"/>
      </c>
      <c r="O290" s="90">
        <f t="shared" si="372"/>
      </c>
      <c r="P290" s="90">
        <f t="shared" si="372"/>
      </c>
      <c r="Q290" s="90">
        <f t="shared" si="372"/>
      </c>
      <c r="R290" s="90">
        <f t="shared" si="372"/>
      </c>
      <c r="S290" s="90">
        <f t="shared" si="372"/>
      </c>
      <c r="T290" s="90">
        <f t="shared" si="372"/>
      </c>
      <c r="U290" s="90">
        <f t="shared" si="372"/>
      </c>
      <c r="Y290" s="90">
        <f t="shared" ref="Y290:AH290" si="373">Y194</f>
      </c>
      <c r="Z290" s="90">
        <f t="shared" si="373"/>
      </c>
      <c r="AA290" s="90">
        <f t="shared" si="373"/>
      </c>
      <c r="AB290" s="90">
        <f t="shared" si="373"/>
      </c>
      <c r="AC290" s="90">
        <f t="shared" si="373"/>
      </c>
      <c r="AD290" s="90">
        <f t="shared" si="373"/>
      </c>
      <c r="AE290" s="90">
        <f t="shared" si="373"/>
      </c>
      <c r="AF290" s="90">
        <f t="shared" si="373"/>
      </c>
      <c r="AG290" s="90">
        <f t="shared" si="373"/>
      </c>
      <c r="AH290" s="90">
        <f t="shared" si="373"/>
      </c>
    </row>
    <row r="291" spans="3:34" x14ac:dyDescent="0.3">
      <c r="D291" t="s">
        <v>300</v>
      </c>
      <c r="T291" s="58">
        <f>IFERROR((T290/J290)^0.1-1, 0)</f>
      </c>
      <c r="U291" s="58">
        <f>IFERROR((U290/K290)^0.1-1, 0)</f>
      </c>
      <c r="Y291" s="58">
        <f t="shared" ref="Y291:AH291" si="374">IFERROR((Y290/L290)^0.1-1, 0)</f>
      </c>
      <c r="Z291" s="58">
        <f t="shared" si="374"/>
      </c>
      <c r="AA291" s="58">
        <f t="shared" si="374"/>
      </c>
      <c r="AB291" s="58">
        <f t="shared" si="374"/>
      </c>
      <c r="AC291" s="58">
        <f t="shared" si="374"/>
      </c>
      <c r="AD291" s="58">
        <f t="shared" si="374"/>
      </c>
      <c r="AE291" s="58">
        <f t="shared" si="374"/>
      </c>
      <c r="AF291" s="58">
        <f t="shared" si="374"/>
      </c>
      <c r="AG291" s="58">
        <f t="shared" si="374"/>
      </c>
      <c r="AH291" s="58">
        <f t="shared" si="374"/>
      </c>
    </row>
    <row r="292" spans="3:34" x14ac:dyDescent="0.3">
      <c r="D292" t="s">
        <v>301</v>
      </c>
      <c r="O292" s="58">
        <f t="shared" ref="O292:U292" si="375">IFERROR((O290/J290)^0.2-1, 0)</f>
      </c>
      <c r="P292" s="58">
        <f t="shared" si="375"/>
      </c>
      <c r="Q292" s="58">
        <f t="shared" si="375"/>
      </c>
      <c r="R292" s="58">
        <f t="shared" si="375"/>
      </c>
      <c r="S292" s="58">
        <f t="shared" si="375"/>
      </c>
      <c r="T292" s="58">
        <f t="shared" si="375"/>
      </c>
      <c r="U292" s="58">
        <f t="shared" si="375"/>
      </c>
      <c r="Y292" s="58">
        <f>IFERROR((Y290/Q290)^0.2-1, 0)</f>
      </c>
      <c r="Z292" s="58">
        <f>IFERROR((Z290/R290)^0.2-1, 0)</f>
      </c>
      <c r="AA292" s="58">
        <f>IFERROR((AA290/S290)^0.2-1, 0)</f>
      </c>
      <c r="AB292" s="58">
        <f>IFERROR((AB290/T290)^0.2-1, 0)</f>
      </c>
      <c r="AC292" s="58">
        <f>IFERROR((AC290/U290)^0.2-1, 0)</f>
      </c>
      <c r="AD292" s="58">
        <f>IFERROR((AD290/Y290)^0.2-1, 0)</f>
      </c>
      <c r="AE292" s="58">
        <f>IFERROR((AE290/Z290)^0.2-1, 0)</f>
      </c>
      <c r="AF292" s="58">
        <f>IFERROR((AF290/AA290)^0.2-1, 0)</f>
      </c>
      <c r="AG292" s="58">
        <f>IFERROR((AG290/AB290)^0.2-1, 0)</f>
      </c>
      <c r="AH292" s="58">
        <f>IFERROR((AH290/AC290)^0.2-1, 0)</f>
      </c>
    </row>
    <row r="293" spans="3:34" x14ac:dyDescent="0.3">
      <c r="D293" t="s">
        <v>302</v>
      </c>
      <c r="L293" s="58">
        <f t="shared" ref="L293:U293" si="376">IFERROR((L290/J290)^0.5-1, 0)</f>
      </c>
      <c r="M293" s="58">
        <f t="shared" si="376"/>
      </c>
      <c r="N293" s="58">
        <f t="shared" si="376"/>
      </c>
      <c r="O293" s="58">
        <f t="shared" si="376"/>
      </c>
      <c r="P293" s="58">
        <f t="shared" si="376"/>
      </c>
      <c r="Q293" s="58">
        <f t="shared" si="376"/>
      </c>
      <c r="R293" s="58">
        <f t="shared" si="376"/>
      </c>
      <c r="S293" s="58">
        <f t="shared" si="376"/>
      </c>
      <c r="T293" s="58">
        <f t="shared" si="376"/>
      </c>
      <c r="U293" s="58">
        <f t="shared" si="376"/>
      </c>
      <c r="Y293" s="58">
        <f>IFERROR((Y290/T290)^0.5-1, 0)</f>
      </c>
      <c r="Z293" s="58">
        <f>IFERROR((Z290/U290)^0.5-1, 0)</f>
      </c>
      <c r="AA293" s="58">
        <f t="shared" ref="AA293:AH293" si="377">IFERROR((AA290/Y290)^0.5-1, 0)</f>
      </c>
      <c r="AB293" s="58">
        <f t="shared" si="377"/>
      </c>
      <c r="AC293" s="58">
        <f t="shared" si="377"/>
      </c>
      <c r="AD293" s="58">
        <f t="shared" si="377"/>
      </c>
      <c r="AE293" s="58">
        <f t="shared" si="377"/>
      </c>
      <c r="AF293" s="58">
        <f t="shared" si="377"/>
      </c>
      <c r="AG293" s="58">
        <f t="shared" si="377"/>
      </c>
      <c r="AH293" s="58">
        <f t="shared" si="377"/>
      </c>
    </row>
    <row r="294" spans="3:34" ht="3" customHeight="1" x14ac:dyDescent="0.3"/>
    <row r="295" spans="3:34" x14ac:dyDescent="0.3">
      <c r="C295" s="2" t="s">
        <v>220</v>
      </c>
      <c r="J295" s="90">
        <f t="shared" ref="J295:U295" si="378">J195</f>
      </c>
      <c r="K295" s="90">
        <f t="shared" si="378"/>
      </c>
      <c r="L295" s="90">
        <f t="shared" si="378"/>
      </c>
      <c r="M295" s="90">
        <f t="shared" si="378"/>
      </c>
      <c r="N295" s="90">
        <f t="shared" si="378"/>
      </c>
      <c r="O295" s="90">
        <f t="shared" si="378"/>
      </c>
      <c r="P295" s="90">
        <f t="shared" si="378"/>
      </c>
      <c r="Q295" s="90">
        <f t="shared" si="378"/>
      </c>
      <c r="R295" s="90">
        <f t="shared" si="378"/>
      </c>
      <c r="S295" s="90">
        <f t="shared" si="378"/>
      </c>
      <c r="T295" s="90">
        <f t="shared" si="378"/>
      </c>
      <c r="U295" s="90">
        <f t="shared" si="378"/>
      </c>
      <c r="Y295" s="90">
        <f t="shared" ref="Y295:AH295" si="379">Y195</f>
      </c>
      <c r="Z295" s="90">
        <f t="shared" si="379"/>
      </c>
      <c r="AA295" s="90">
        <f t="shared" si="379"/>
      </c>
      <c r="AB295" s="90">
        <f t="shared" si="379"/>
      </c>
      <c r="AC295" s="90">
        <f t="shared" si="379"/>
      </c>
      <c r="AD295" s="90">
        <f t="shared" si="379"/>
      </c>
      <c r="AE295" s="90">
        <f t="shared" si="379"/>
      </c>
      <c r="AF295" s="90">
        <f t="shared" si="379"/>
      </c>
      <c r="AG295" s="90">
        <f t="shared" si="379"/>
      </c>
      <c r="AH295" s="90">
        <f t="shared" si="379"/>
      </c>
    </row>
    <row r="296" spans="3:34" x14ac:dyDescent="0.3">
      <c r="D296" t="s">
        <v>300</v>
      </c>
      <c r="T296" s="58">
        <f>IFERROR((T295/J295)^0.1-1, 0)</f>
      </c>
      <c r="U296" s="58">
        <f>IFERROR((U295/K295)^0.1-1, 0)</f>
      </c>
      <c r="Y296" s="58">
        <f t="shared" ref="Y296:AH296" si="380">IFERROR((Y295/L295)^0.1-1, 0)</f>
      </c>
      <c r="Z296" s="58">
        <f t="shared" si="380"/>
      </c>
      <c r="AA296" s="58">
        <f t="shared" si="380"/>
      </c>
      <c r="AB296" s="58">
        <f t="shared" si="380"/>
      </c>
      <c r="AC296" s="58">
        <f t="shared" si="380"/>
      </c>
      <c r="AD296" s="58">
        <f t="shared" si="380"/>
      </c>
      <c r="AE296" s="58">
        <f t="shared" si="380"/>
      </c>
      <c r="AF296" s="58">
        <f t="shared" si="380"/>
      </c>
      <c r="AG296" s="58">
        <f t="shared" si="380"/>
      </c>
      <c r="AH296" s="58">
        <f t="shared" si="380"/>
      </c>
    </row>
    <row r="297" spans="3:34" x14ac:dyDescent="0.3">
      <c r="D297" t="s">
        <v>301</v>
      </c>
      <c r="O297" s="58">
        <f t="shared" ref="O297:U297" si="381">IFERROR((O295/J295)^0.2-1, 0)</f>
      </c>
      <c r="P297" s="58">
        <f t="shared" si="381"/>
      </c>
      <c r="Q297" s="58">
        <f t="shared" si="381"/>
      </c>
      <c r="R297" s="58">
        <f t="shared" si="381"/>
      </c>
      <c r="S297" s="58">
        <f t="shared" si="381"/>
      </c>
      <c r="T297" s="58">
        <f t="shared" si="381"/>
      </c>
      <c r="U297" s="58">
        <f t="shared" si="381"/>
      </c>
      <c r="Y297" s="58">
        <f>IFERROR((Y295/Q295)^0.2-1, 0)</f>
      </c>
      <c r="Z297" s="58">
        <f>IFERROR((Z295/R295)^0.2-1, 0)</f>
      </c>
      <c r="AA297" s="58">
        <f>IFERROR((AA295/S295)^0.2-1, 0)</f>
      </c>
      <c r="AB297" s="58">
        <f>IFERROR((AB295/T295)^0.2-1, 0)</f>
      </c>
      <c r="AC297" s="58">
        <f>IFERROR((AC295/U295)^0.2-1, 0)</f>
      </c>
      <c r="AD297" s="58">
        <f>IFERROR((AD295/Y295)^0.2-1, 0)</f>
      </c>
      <c r="AE297" s="58">
        <f>IFERROR((AE295/Z295)^0.2-1, 0)</f>
      </c>
      <c r="AF297" s="58">
        <f>IFERROR((AF295/AA295)^0.2-1, 0)</f>
      </c>
      <c r="AG297" s="58">
        <f>IFERROR((AG295/AB295)^0.2-1, 0)</f>
      </c>
      <c r="AH297" s="58">
        <f>IFERROR((AH295/AC295)^0.2-1, 0)</f>
      </c>
    </row>
    <row r="298" spans="3:34" x14ac:dyDescent="0.3">
      <c r="D298" t="s">
        <v>302</v>
      </c>
      <c r="L298" s="58">
        <f t="shared" ref="L298:U298" si="382">IFERROR((L295/J295)^0.5-1, 0)</f>
      </c>
      <c r="M298" s="58">
        <f t="shared" si="382"/>
      </c>
      <c r="N298" s="58">
        <f t="shared" si="382"/>
      </c>
      <c r="O298" s="58">
        <f t="shared" si="382"/>
      </c>
      <c r="P298" s="58">
        <f t="shared" si="382"/>
      </c>
      <c r="Q298" s="58">
        <f t="shared" si="382"/>
      </c>
      <c r="R298" s="58">
        <f t="shared" si="382"/>
      </c>
      <c r="S298" s="58">
        <f t="shared" si="382"/>
      </c>
      <c r="T298" s="58">
        <f t="shared" si="382"/>
      </c>
      <c r="U298" s="58">
        <f t="shared" si="382"/>
      </c>
      <c r="Y298" s="58">
        <f>IFERROR((Y295/T295)^0.5-1, 0)</f>
      </c>
      <c r="Z298" s="58">
        <f>IFERROR((Z295/U295)^0.5-1, 0)</f>
      </c>
      <c r="AA298" s="58">
        <f t="shared" ref="AA298:AH298" si="383">IFERROR((AA295/Y295)^0.5-1, 0)</f>
      </c>
      <c r="AB298" s="58">
        <f t="shared" si="383"/>
      </c>
      <c r="AC298" s="58">
        <f t="shared" si="383"/>
      </c>
      <c r="AD298" s="58">
        <f t="shared" si="383"/>
      </c>
      <c r="AE298" s="58">
        <f t="shared" si="383"/>
      </c>
      <c r="AF298" s="58">
        <f t="shared" si="383"/>
      </c>
      <c r="AG298" s="58">
        <f t="shared" si="383"/>
      </c>
      <c r="AH298" s="58">
        <f t="shared" si="383"/>
      </c>
    </row>
    <row r="299" spans="3:34" ht="3" customHeight="1" x14ac:dyDescent="0.3"/>
    <row r="300" spans="3:34" x14ac:dyDescent="0.3">
      <c r="C300" s="2" t="s">
        <v>303</v>
      </c>
    </row>
    <row r="301" spans="3:34" x14ac:dyDescent="0.3">
      <c r="D301" t="str">
        <f>D181</f>
      </c>
      <c r="L301" s="58">
        <f t="shared" ref="L301:U305" si="384">IFERROR((L199/J199)^0.5-1, 0)</f>
      </c>
      <c r="M301" s="58">
        <f t="shared" si="384"/>
      </c>
      <c r="N301" s="58">
        <f t="shared" si="384"/>
      </c>
      <c r="O301" s="58">
        <f t="shared" si="384"/>
      </c>
      <c r="P301" s="58">
        <f t="shared" si="384"/>
      </c>
      <c r="Q301" s="58">
        <f t="shared" si="384"/>
      </c>
      <c r="R301" s="58">
        <f t="shared" si="384"/>
      </c>
      <c r="S301" s="58">
        <f t="shared" si="384"/>
      </c>
      <c r="T301" s="58">
        <f t="shared" si="384"/>
      </c>
      <c r="U301" s="58">
        <f t="shared" si="384"/>
      </c>
      <c r="Y301" s="58">
        <f t="shared" ref="Y301:Z305" si="385">IFERROR((Y199/T199)^0.5-1, 0)</f>
      </c>
      <c r="Z301" s="58">
        <f t="shared" si="385"/>
      </c>
      <c r="AA301" s="58">
        <f t="shared" ref="AA301:AH305" si="386">IFERROR((AA199/Y199)^0.5-1, 0)</f>
      </c>
      <c r="AB301" s="58">
        <f t="shared" si="386"/>
      </c>
      <c r="AC301" s="58">
        <f t="shared" si="386"/>
      </c>
      <c r="AD301" s="58">
        <f t="shared" si="386"/>
      </c>
      <c r="AE301" s="58">
        <f t="shared" si="386"/>
      </c>
      <c r="AF301" s="58">
        <f t="shared" si="386"/>
      </c>
      <c r="AG301" s="58">
        <f t="shared" si="386"/>
      </c>
      <c r="AH301" s="58">
        <f t="shared" si="386"/>
      </c>
    </row>
    <row r="302" spans="3:34" x14ac:dyDescent="0.3">
      <c r="D302" t="str">
        <f>D182</f>
      </c>
      <c r="L302" s="58">
        <f t="shared" si="384"/>
      </c>
      <c r="M302" s="58">
        <f t="shared" si="384"/>
      </c>
      <c r="N302" s="58">
        <f t="shared" si="384"/>
      </c>
      <c r="O302" s="58">
        <f t="shared" si="384"/>
      </c>
      <c r="P302" s="58">
        <f t="shared" si="384"/>
      </c>
      <c r="Q302" s="58">
        <f t="shared" si="384"/>
      </c>
      <c r="R302" s="58">
        <f t="shared" si="384"/>
      </c>
      <c r="S302" s="58">
        <f t="shared" si="384"/>
      </c>
      <c r="T302" s="58">
        <f t="shared" si="384"/>
      </c>
      <c r="U302" s="58">
        <f t="shared" si="384"/>
      </c>
      <c r="Y302" s="58">
        <f t="shared" si="385"/>
      </c>
      <c r="Z302" s="58">
        <f t="shared" si="385"/>
      </c>
      <c r="AA302" s="58">
        <f t="shared" si="386"/>
      </c>
      <c r="AB302" s="58">
        <f t="shared" si="386"/>
      </c>
      <c r="AC302" s="58">
        <f t="shared" si="386"/>
      </c>
      <c r="AD302" s="58">
        <f t="shared" si="386"/>
      </c>
      <c r="AE302" s="58">
        <f t="shared" si="386"/>
      </c>
      <c r="AF302" s="58">
        <f t="shared" si="386"/>
      </c>
      <c r="AG302" s="58">
        <f t="shared" si="386"/>
      </c>
      <c r="AH302" s="58">
        <f t="shared" si="386"/>
      </c>
    </row>
    <row r="303" spans="3:34" x14ac:dyDescent="0.3">
      <c r="D303" t="str">
        <f>D183</f>
      </c>
      <c r="L303" s="58">
        <f t="shared" si="384"/>
      </c>
      <c r="M303" s="58">
        <f t="shared" si="384"/>
      </c>
      <c r="N303" s="58">
        <f t="shared" si="384"/>
      </c>
      <c r="O303" s="58">
        <f t="shared" si="384"/>
      </c>
      <c r="P303" s="58">
        <f t="shared" si="384"/>
      </c>
      <c r="Q303" s="58">
        <f t="shared" si="384"/>
      </c>
      <c r="R303" s="58">
        <f t="shared" si="384"/>
      </c>
      <c r="S303" s="58">
        <f t="shared" si="384"/>
      </c>
      <c r="T303" s="58">
        <f t="shared" si="384"/>
      </c>
      <c r="U303" s="58">
        <f t="shared" si="384"/>
      </c>
      <c r="Y303" s="58">
        <f t="shared" si="385"/>
      </c>
      <c r="Z303" s="58">
        <f t="shared" si="385"/>
      </c>
      <c r="AA303" s="58">
        <f t="shared" si="386"/>
      </c>
      <c r="AB303" s="58">
        <f t="shared" si="386"/>
      </c>
      <c r="AC303" s="58">
        <f t="shared" si="386"/>
      </c>
      <c r="AD303" s="58">
        <f t="shared" si="386"/>
      </c>
      <c r="AE303" s="58">
        <f t="shared" si="386"/>
      </c>
      <c r="AF303" s="58">
        <f t="shared" si="386"/>
      </c>
      <c r="AG303" s="58">
        <f t="shared" si="386"/>
      </c>
      <c r="AH303" s="58">
        <f t="shared" si="386"/>
      </c>
    </row>
    <row r="304" spans="3:34" x14ac:dyDescent="0.3">
      <c r="D304" t="str">
        <f>D184</f>
      </c>
      <c r="L304" s="58">
        <f t="shared" si="384"/>
      </c>
      <c r="M304" s="58">
        <f t="shared" si="384"/>
      </c>
      <c r="N304" s="58">
        <f t="shared" si="384"/>
      </c>
      <c r="O304" s="58">
        <f t="shared" si="384"/>
      </c>
      <c r="P304" s="58">
        <f t="shared" si="384"/>
      </c>
      <c r="Q304" s="58">
        <f t="shared" si="384"/>
      </c>
      <c r="R304" s="58">
        <f t="shared" si="384"/>
      </c>
      <c r="S304" s="58">
        <f t="shared" si="384"/>
      </c>
      <c r="T304" s="58">
        <f t="shared" si="384"/>
      </c>
      <c r="U304" s="58">
        <f t="shared" si="384"/>
      </c>
      <c r="Y304" s="58">
        <f t="shared" si="385"/>
      </c>
      <c r="Z304" s="58">
        <f t="shared" si="385"/>
      </c>
      <c r="AA304" s="58">
        <f t="shared" si="386"/>
      </c>
      <c r="AB304" s="58">
        <f t="shared" si="386"/>
      </c>
      <c r="AC304" s="58">
        <f t="shared" si="386"/>
      </c>
      <c r="AD304" s="58">
        <f t="shared" si="386"/>
      </c>
      <c r="AE304" s="58">
        <f t="shared" si="386"/>
      </c>
      <c r="AF304" s="58">
        <f t="shared" si="386"/>
      </c>
      <c r="AG304" s="58">
        <f t="shared" si="386"/>
      </c>
      <c r="AH304" s="58">
        <f t="shared" si="386"/>
      </c>
    </row>
    <row r="305" spans="2:34" x14ac:dyDescent="0.3">
      <c r="D305" t="str">
        <f>D185</f>
      </c>
      <c r="L305" s="58">
        <f t="shared" si="384"/>
      </c>
      <c r="M305" s="58">
        <f t="shared" si="384"/>
      </c>
      <c r="N305" s="58">
        <f t="shared" si="384"/>
      </c>
      <c r="O305" s="58">
        <f t="shared" si="384"/>
      </c>
      <c r="P305" s="58">
        <f t="shared" si="384"/>
      </c>
      <c r="Q305" s="58">
        <f t="shared" si="384"/>
      </c>
      <c r="R305" s="58">
        <f t="shared" si="384"/>
      </c>
      <c r="S305" s="58">
        <f t="shared" si="384"/>
      </c>
      <c r="T305" s="58">
        <f t="shared" si="384"/>
      </c>
      <c r="U305" s="58">
        <f t="shared" si="384"/>
      </c>
      <c r="Y305" s="58">
        <f t="shared" si="385"/>
      </c>
      <c r="Z305" s="58">
        <f t="shared" si="385"/>
      </c>
      <c r="AA305" s="58">
        <f t="shared" si="386"/>
      </c>
      <c r="AB305" s="58">
        <f t="shared" si="386"/>
      </c>
      <c r="AC305" s="58">
        <f t="shared" si="386"/>
      </c>
      <c r="AD305" s="58">
        <f t="shared" si="386"/>
      </c>
      <c r="AE305" s="58">
        <f t="shared" si="386"/>
      </c>
      <c r="AF305" s="58">
        <f t="shared" si="386"/>
      </c>
      <c r="AG305" s="58">
        <f t="shared" si="386"/>
      </c>
      <c r="AH305" s="58">
        <f t="shared" si="386"/>
      </c>
    </row>
    <row r="306" spans="2:34" ht="3" customHeight="1" x14ac:dyDescent="0.3"/>
    <row r="307" spans="2:34" x14ac:dyDescent="0.3">
      <c r="C307" s="2" t="s">
        <v>304</v>
      </c>
    </row>
    <row r="308" spans="2:34" x14ac:dyDescent="0.3">
      <c r="D308" t="str">
        <f>D189</f>
      </c>
      <c r="L308" s="58">
        <f t="shared" ref="L308:U312" si="387">IFERROR((L189/J189)^0.5-1, 0)</f>
      </c>
      <c r="M308" s="58">
        <f t="shared" si="387"/>
      </c>
      <c r="N308" s="58">
        <f t="shared" si="387"/>
      </c>
      <c r="O308" s="58">
        <f t="shared" si="387"/>
      </c>
      <c r="P308" s="58">
        <f t="shared" si="387"/>
      </c>
      <c r="Q308" s="58">
        <f t="shared" si="387"/>
      </c>
      <c r="R308" s="58">
        <f t="shared" si="387"/>
      </c>
      <c r="S308" s="58">
        <f t="shared" si="387"/>
      </c>
      <c r="T308" s="58">
        <f t="shared" si="387"/>
      </c>
      <c r="U308" s="58">
        <f t="shared" si="387"/>
      </c>
      <c r="Y308" s="58">
        <f t="shared" ref="Y308:Z312" si="388">IFERROR((Y189/T189)^0.5-1, 0)</f>
      </c>
      <c r="Z308" s="58">
        <f t="shared" si="388"/>
      </c>
      <c r="AA308" s="58">
        <f t="shared" ref="AA308:AH312" si="389">IFERROR((AA189/Y189)^0.5-1, 0)</f>
      </c>
      <c r="AB308" s="58">
        <f t="shared" si="389"/>
      </c>
      <c r="AC308" s="58">
        <f t="shared" si="389"/>
      </c>
      <c r="AD308" s="58">
        <f t="shared" si="389"/>
      </c>
      <c r="AE308" s="58">
        <f t="shared" si="389"/>
      </c>
      <c r="AF308" s="58">
        <f t="shared" si="389"/>
      </c>
      <c r="AG308" s="58">
        <f t="shared" si="389"/>
      </c>
      <c r="AH308" s="58">
        <f t="shared" si="389"/>
      </c>
    </row>
    <row r="309" spans="2:34" x14ac:dyDescent="0.3">
      <c r="D309" t="str">
        <f>D190</f>
      </c>
      <c r="L309" s="58">
        <f t="shared" si="387"/>
      </c>
      <c r="M309" s="58">
        <f t="shared" si="387"/>
      </c>
      <c r="N309" s="58">
        <f t="shared" si="387"/>
      </c>
      <c r="O309" s="58">
        <f t="shared" si="387"/>
      </c>
      <c r="P309" s="58">
        <f t="shared" si="387"/>
      </c>
      <c r="Q309" s="58">
        <f t="shared" si="387"/>
      </c>
      <c r="R309" s="58">
        <f t="shared" si="387"/>
      </c>
      <c r="S309" s="58">
        <f t="shared" si="387"/>
      </c>
      <c r="T309" s="58">
        <f t="shared" si="387"/>
      </c>
      <c r="U309" s="58">
        <f t="shared" si="387"/>
      </c>
      <c r="Y309" s="58">
        <f t="shared" si="388"/>
      </c>
      <c r="Z309" s="58">
        <f t="shared" si="388"/>
      </c>
      <c r="AA309" s="58">
        <f t="shared" si="389"/>
      </c>
      <c r="AB309" s="58">
        <f t="shared" si="389"/>
      </c>
      <c r="AC309" s="58">
        <f t="shared" si="389"/>
      </c>
      <c r="AD309" s="58">
        <f t="shared" si="389"/>
      </c>
      <c r="AE309" s="58">
        <f t="shared" si="389"/>
      </c>
      <c r="AF309" s="58">
        <f t="shared" si="389"/>
      </c>
      <c r="AG309" s="58">
        <f t="shared" si="389"/>
      </c>
      <c r="AH309" s="58">
        <f t="shared" si="389"/>
      </c>
    </row>
    <row r="310" spans="2:34" x14ac:dyDescent="0.3">
      <c r="D310" t="str">
        <f>D191</f>
      </c>
      <c r="L310" s="58">
        <f t="shared" si="387"/>
      </c>
      <c r="M310" s="58">
        <f t="shared" si="387"/>
      </c>
      <c r="N310" s="58">
        <f t="shared" si="387"/>
      </c>
      <c r="O310" s="58">
        <f t="shared" si="387"/>
      </c>
      <c r="P310" s="58">
        <f t="shared" si="387"/>
      </c>
      <c r="Q310" s="58">
        <f t="shared" si="387"/>
      </c>
      <c r="R310" s="58">
        <f t="shared" si="387"/>
      </c>
      <c r="S310" s="58">
        <f t="shared" si="387"/>
      </c>
      <c r="T310" s="58">
        <f t="shared" si="387"/>
      </c>
      <c r="U310" s="58">
        <f t="shared" si="387"/>
      </c>
      <c r="Y310" s="58">
        <f t="shared" si="388"/>
      </c>
      <c r="Z310" s="58">
        <f t="shared" si="388"/>
      </c>
      <c r="AA310" s="58">
        <f t="shared" si="389"/>
      </c>
      <c r="AB310" s="58">
        <f t="shared" si="389"/>
      </c>
      <c r="AC310" s="58">
        <f t="shared" si="389"/>
      </c>
      <c r="AD310" s="58">
        <f t="shared" si="389"/>
      </c>
      <c r="AE310" s="58">
        <f t="shared" si="389"/>
      </c>
      <c r="AF310" s="58">
        <f t="shared" si="389"/>
      </c>
      <c r="AG310" s="58">
        <f t="shared" si="389"/>
      </c>
      <c r="AH310" s="58">
        <f t="shared" si="389"/>
      </c>
    </row>
    <row r="311" spans="2:34" x14ac:dyDescent="0.3">
      <c r="D311" t="str">
        <f>D192</f>
      </c>
      <c r="L311" s="58">
        <f t="shared" si="387"/>
      </c>
      <c r="M311" s="58">
        <f t="shared" si="387"/>
      </c>
      <c r="N311" s="58">
        <f t="shared" si="387"/>
      </c>
      <c r="O311" s="58">
        <f t="shared" si="387"/>
      </c>
      <c r="P311" s="58">
        <f t="shared" si="387"/>
      </c>
      <c r="Q311" s="58">
        <f t="shared" si="387"/>
      </c>
      <c r="R311" s="58">
        <f t="shared" si="387"/>
      </c>
      <c r="S311" s="58">
        <f t="shared" si="387"/>
      </c>
      <c r="T311" s="58">
        <f t="shared" si="387"/>
      </c>
      <c r="U311" s="58">
        <f t="shared" si="387"/>
      </c>
      <c r="Y311" s="58">
        <f t="shared" si="388"/>
      </c>
      <c r="Z311" s="58">
        <f t="shared" si="388"/>
      </c>
      <c r="AA311" s="58">
        <f t="shared" si="389"/>
      </c>
      <c r="AB311" s="58">
        <f t="shared" si="389"/>
      </c>
      <c r="AC311" s="58">
        <f t="shared" si="389"/>
      </c>
      <c r="AD311" s="58">
        <f t="shared" si="389"/>
      </c>
      <c r="AE311" s="58">
        <f t="shared" si="389"/>
      </c>
      <c r="AF311" s="58">
        <f t="shared" si="389"/>
      </c>
      <c r="AG311" s="58">
        <f t="shared" si="389"/>
      </c>
      <c r="AH311" s="58">
        <f t="shared" si="389"/>
      </c>
    </row>
    <row r="312" spans="2:34" x14ac:dyDescent="0.3">
      <c r="D312" t="str">
        <f>D193</f>
      </c>
      <c r="L312" s="58">
        <f t="shared" si="387"/>
      </c>
      <c r="M312" s="58">
        <f t="shared" si="387"/>
      </c>
      <c r="N312" s="58">
        <f t="shared" si="387"/>
      </c>
      <c r="O312" s="58">
        <f t="shared" si="387"/>
      </c>
      <c r="P312" s="58">
        <f t="shared" si="387"/>
      </c>
      <c r="Q312" s="58">
        <f t="shared" si="387"/>
      </c>
      <c r="R312" s="58">
        <f t="shared" si="387"/>
      </c>
      <c r="S312" s="58">
        <f t="shared" si="387"/>
      </c>
      <c r="T312" s="58">
        <f t="shared" si="387"/>
      </c>
      <c r="U312" s="58">
        <f t="shared" si="387"/>
      </c>
      <c r="Y312" s="58">
        <f t="shared" si="388"/>
      </c>
      <c r="Z312" s="58">
        <f t="shared" si="388"/>
      </c>
      <c r="AA312" s="58">
        <f t="shared" si="389"/>
      </c>
      <c r="AB312" s="58">
        <f t="shared" si="389"/>
      </c>
      <c r="AC312" s="58">
        <f t="shared" si="389"/>
      </c>
      <c r="AD312" s="58">
        <f t="shared" si="389"/>
      </c>
      <c r="AE312" s="58">
        <f t="shared" si="389"/>
      </c>
      <c r="AF312" s="58">
        <f t="shared" si="389"/>
      </c>
      <c r="AG312" s="58">
        <f t="shared" si="389"/>
      </c>
      <c r="AH312" s="58">
        <f t="shared" si="389"/>
      </c>
    </row>
    <row r="316" spans="2:34" ht="18" x14ac:dyDescent="0.35">
      <c r="B316" s="148" t="str">
        <f>'Assumptions&amp;Scenario'!$K$10</f>
      </c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</row>
    <row r="317" spans="2:34" ht="18" thickBot="1" x14ac:dyDescent="0.35">
      <c r="B317" s="47" t="s">
        <v>407</v>
      </c>
      <c r="C317" s="48"/>
      <c r="D317" s="48"/>
      <c r="E317" s="48"/>
      <c r="F317" s="48"/>
      <c r="G317" s="48"/>
      <c r="H317" s="49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Y317" s="47" t="s">
        <v>407</v>
      </c>
      <c r="Z317" s="48"/>
      <c r="AA317" s="48"/>
      <c r="AB317" s="48"/>
      <c r="AC317" s="48"/>
      <c r="AD317" s="48"/>
      <c r="AE317" s="48"/>
      <c r="AF317" s="48"/>
      <c r="AG317" s="48"/>
      <c r="AH317" s="48"/>
    </row>
    <row r="318" spans="2:34" x14ac:dyDescent="0.3">
      <c r="C318" s="2"/>
      <c r="D318" s="2"/>
      <c r="E318" s="2"/>
      <c r="F318" s="2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</row>
    <row r="319" spans="2:34" ht="15.6" x14ac:dyDescent="0.3">
      <c r="C319" s="43" t="s">
        <v>389</v>
      </c>
      <c r="D319" s="43"/>
      <c r="E319" s="43"/>
      <c r="F319" s="43"/>
      <c r="G319" s="43"/>
      <c r="H319" s="44"/>
      <c r="I319" s="44"/>
      <c r="J319" s="44" t="str">
        <f>"FY"&amp;TEXT(RIGHT(K319,2)-(COLUMN(K319)-COLUMN()),"00")</f>
      </c>
      <c r="K319" s="44" t="str">
        <f t="shared" ref="K319:T319" si="390">"FY"&amp;TEXT(RIGHT(L319,2)-(COLUMN(L319)-COLUMN()),"00")</f>
      </c>
      <c r="L319" s="79" t="str">
        <f t="shared" si="390"/>
      </c>
      <c r="M319" s="79" t="str">
        <f t="shared" si="390"/>
      </c>
      <c r="N319" s="79" t="str">
        <f t="shared" si="390"/>
      </c>
      <c r="O319" s="79" t="str">
        <f t="shared" si="390"/>
      </c>
      <c r="P319" s="79" t="str">
        <f t="shared" si="390"/>
      </c>
      <c r="Q319" s="79" t="str">
        <f t="shared" si="390"/>
      </c>
      <c r="R319" s="79" t="str">
        <f t="shared" si="390"/>
      </c>
      <c r="S319" s="79" t="str">
        <f t="shared" si="390"/>
      </c>
      <c r="T319" s="79" t="str">
        <f t="shared" si="390"/>
      </c>
      <c r="U319" s="79" t="str">
        <f>"FY"&amp;TEXT(DATE(YEAR('Data Sheet'!$K$16)+(MONTH('Data Sheet'!$K$16)&gt;3),1,1),"YY")</f>
      </c>
      <c r="Y319" s="44" t="str">
        <f>Model!$L$6</f>
      </c>
      <c r="Z319" s="44" t="str">
        <f t="shared" ref="Z319" si="391">"FY"&amp;TEXT(RIGHT(Y319,2)+COLUMN()-COLUMN(Y319),"00")</f>
      </c>
      <c r="AA319" s="44" t="str">
        <f t="shared" ref="AA319" si="392">"FY"&amp;TEXT(RIGHT(Z319,2)+COLUMN()-COLUMN(Z319),"00")</f>
      </c>
      <c r="AB319" s="44" t="str">
        <f t="shared" ref="AB319" si="393">"FY"&amp;TEXT(RIGHT(AA319,2)+COLUMN()-COLUMN(AA319),"00")</f>
      </c>
      <c r="AC319" s="44" t="str">
        <f t="shared" ref="AC319" si="394">"FY"&amp;TEXT(RIGHT(AB319,2)+COLUMN()-COLUMN(AB319),"00")</f>
      </c>
      <c r="AD319" s="44" t="str">
        <f t="shared" ref="AD319" si="395">"FY"&amp;TEXT(RIGHT(AC319,2)+COLUMN()-COLUMN(AC319),"00")</f>
      </c>
      <c r="AE319" s="44" t="str">
        <f t="shared" ref="AE319" si="396">"FY"&amp;TEXT(RIGHT(AD319,2)+COLUMN()-COLUMN(AD319),"00")</f>
      </c>
      <c r="AF319" s="44" t="str">
        <f t="shared" ref="AF319" si="397">"FY"&amp;TEXT(RIGHT(AE319,2)+COLUMN()-COLUMN(AE319),"00")</f>
      </c>
      <c r="AG319" s="44" t="str">
        <f t="shared" ref="AG319" si="398">"FY"&amp;TEXT(RIGHT(AF319,2)+COLUMN()-COLUMN(AF319),"00")</f>
      </c>
      <c r="AH319" s="44" t="str">
        <f t="shared" ref="AH319" si="399">"FY"&amp;TEXT(RIGHT(AG319,2)+COLUMN()-COLUMN(AG319),"00")</f>
      </c>
    </row>
    <row r="320" spans="2:34" ht="3" customHeight="1" x14ac:dyDescent="0.3"/>
    <row r="321" spans="3:34" ht="3" customHeight="1" x14ac:dyDescent="0.3"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3:34" ht="3" customHeight="1" x14ac:dyDescent="0.3"/>
    <row r="323" spans="3:34" x14ac:dyDescent="0.3">
      <c r="C323" s="2" t="str">
        <f>$C$37</f>
      </c>
      <c r="H323" s="77" t="str">
        <f>'Assumptions&amp;Scenario'!K42</f>
      </c>
      <c r="J323" s="40">
        <f t="shared" ref="J323:U323" si="400">J178</f>
      </c>
      <c r="K323" s="40">
        <f t="shared" si="400"/>
      </c>
      <c r="L323" s="40">
        <f t="shared" si="400"/>
      </c>
      <c r="M323" s="40">
        <f t="shared" si="400"/>
      </c>
      <c r="N323" s="40">
        <f t="shared" si="400"/>
      </c>
      <c r="O323" s="40">
        <f t="shared" si="400"/>
      </c>
      <c r="P323" s="40">
        <f t="shared" si="400"/>
      </c>
      <c r="Q323" s="40">
        <f t="shared" si="400"/>
      </c>
      <c r="R323" s="40">
        <f t="shared" si="400"/>
      </c>
      <c r="S323" s="40">
        <f t="shared" si="400"/>
      </c>
      <c r="T323" s="40">
        <f t="shared" si="400"/>
      </c>
      <c r="U323" s="40">
        <f t="shared" si="400"/>
      </c>
      <c r="Y323" s="40">
        <f t="shared" ref="Y323:AH323" si="401">Y178</f>
      </c>
      <c r="Z323" s="40">
        <f t="shared" si="401"/>
      </c>
      <c r="AA323" s="40">
        <f t="shared" si="401"/>
      </c>
      <c r="AB323" s="40">
        <f t="shared" si="401"/>
      </c>
      <c r="AC323" s="40">
        <f t="shared" si="401"/>
      </c>
      <c r="AD323" s="40">
        <f t="shared" si="401"/>
      </c>
      <c r="AE323" s="40">
        <f t="shared" si="401"/>
      </c>
      <c r="AF323" s="40">
        <f t="shared" si="401"/>
      </c>
      <c r="AG323" s="40">
        <f t="shared" si="401"/>
      </c>
      <c r="AH323" s="40">
        <f t="shared" si="401"/>
      </c>
    </row>
    <row r="324" spans="3:34" ht="3" customHeight="1" x14ac:dyDescent="0.3"/>
    <row r="325" spans="3:34" x14ac:dyDescent="0.3">
      <c r="C325" s="2" t="s">
        <v>83</v>
      </c>
      <c r="H325" s="77" t="str">
        <f>$H$10</f>
      </c>
      <c r="J325" s="91">
        <f t="shared" ref="J325:U325" si="402">J10</f>
      </c>
      <c r="K325" s="91">
        <f t="shared" si="402"/>
      </c>
      <c r="L325" s="91">
        <f t="shared" si="402"/>
      </c>
      <c r="M325" s="91">
        <f t="shared" si="402"/>
      </c>
      <c r="N325" s="91">
        <f t="shared" si="402"/>
      </c>
      <c r="O325" s="91">
        <f t="shared" si="402"/>
      </c>
      <c r="P325" s="91">
        <f t="shared" si="402"/>
      </c>
      <c r="Q325" s="91">
        <f t="shared" si="402"/>
      </c>
      <c r="R325" s="91">
        <f t="shared" si="402"/>
      </c>
      <c r="S325" s="91">
        <f t="shared" si="402"/>
      </c>
      <c r="T325" s="91">
        <f t="shared" si="402"/>
      </c>
      <c r="U325" s="91">
        <f t="shared" si="402"/>
      </c>
      <c r="Y325" s="40">
        <f t="shared" ref="Y325:AH325" si="403">Y10</f>
      </c>
      <c r="Z325" s="40">
        <f t="shared" si="403"/>
      </c>
      <c r="AA325" s="40">
        <f t="shared" si="403"/>
      </c>
      <c r="AB325" s="40">
        <f t="shared" si="403"/>
      </c>
      <c r="AC325" s="40">
        <f t="shared" si="403"/>
      </c>
      <c r="AD325" s="40">
        <f t="shared" si="403"/>
      </c>
      <c r="AE325" s="40">
        <f t="shared" si="403"/>
      </c>
      <c r="AF325" s="40">
        <f t="shared" si="403"/>
      </c>
      <c r="AG325" s="40">
        <f t="shared" si="403"/>
      </c>
      <c r="AH325" s="40">
        <f t="shared" si="403"/>
      </c>
    </row>
    <row r="326" spans="3:34" x14ac:dyDescent="0.3">
      <c r="C326" s="2" t="s">
        <v>232</v>
      </c>
      <c r="J326" s="40">
        <f t="shared" ref="J326:U326" si="404">J195</f>
      </c>
      <c r="K326" s="40">
        <f t="shared" si="404"/>
      </c>
      <c r="L326" s="40">
        <f t="shared" si="404"/>
      </c>
      <c r="M326" s="40">
        <f t="shared" si="404"/>
      </c>
      <c r="N326" s="40">
        <f t="shared" si="404"/>
      </c>
      <c r="O326" s="40">
        <f t="shared" si="404"/>
      </c>
      <c r="P326" s="40">
        <f t="shared" si="404"/>
      </c>
      <c r="Q326" s="40">
        <f t="shared" si="404"/>
      </c>
      <c r="R326" s="40">
        <f t="shared" si="404"/>
      </c>
      <c r="S326" s="40">
        <f t="shared" si="404"/>
      </c>
      <c r="T326" s="40">
        <f t="shared" si="404"/>
      </c>
      <c r="U326" s="40">
        <f t="shared" si="404"/>
      </c>
      <c r="Y326" s="40">
        <f t="shared" ref="Y326:AH326" si="405">Y195</f>
      </c>
      <c r="Z326" s="40">
        <f t="shared" si="405"/>
      </c>
      <c r="AA326" s="40">
        <f t="shared" si="405"/>
      </c>
      <c r="AB326" s="40">
        <f t="shared" si="405"/>
      </c>
      <c r="AC326" s="40">
        <f t="shared" si="405"/>
      </c>
      <c r="AD326" s="40">
        <f t="shared" si="405"/>
      </c>
      <c r="AE326" s="40">
        <f t="shared" si="405"/>
      </c>
      <c r="AF326" s="40">
        <f t="shared" si="405"/>
      </c>
      <c r="AG326" s="40">
        <f t="shared" si="405"/>
      </c>
      <c r="AH326" s="40">
        <f t="shared" si="405"/>
      </c>
    </row>
    <row r="327" spans="3:34" x14ac:dyDescent="0.3">
      <c r="C327" t="s">
        <v>4</v>
      </c>
      <c r="J327" s="56"/>
      <c r="K327" s="56"/>
      <c r="L327" s="56">
        <f>IFERROR('Data Sheet'!B25, 0)</f>
      </c>
      <c r="M327" s="56">
        <f>IFERROR('Data Sheet'!C25, 0)</f>
      </c>
      <c r="N327" s="56">
        <f>IFERROR('Data Sheet'!D25, 0)</f>
      </c>
      <c r="O327" s="56">
        <f>IFERROR('Data Sheet'!E25, 0)</f>
      </c>
      <c r="P327" s="56">
        <f>IFERROR('Data Sheet'!F25, 0)</f>
      </c>
      <c r="Q327" s="56">
        <f>IFERROR('Data Sheet'!G25, 0)</f>
      </c>
      <c r="R327" s="56">
        <f>IFERROR('Data Sheet'!H25, 0)</f>
      </c>
      <c r="S327" s="56">
        <f>IFERROR('Data Sheet'!I25, 0)</f>
      </c>
      <c r="T327" s="56">
        <f>IFERROR('Data Sheet'!J25, 0)</f>
      </c>
      <c r="U327" s="56">
        <f>IFERROR('Data Sheet'!K25, 0)</f>
      </c>
      <c r="Y327" s="71" cm="1">
        <f t="array" ref="Y327">IFERROR(_xlfn.FORECAST.LINEAR(RIGHT(Y$6,2), $J327:$U327, VALUE(RIGHT($J$6:$U$6,2))), 0)</f>
      </c>
      <c r="Z327" s="71" cm="1">
        <f t="array" ref="Z327">IFERROR(_xlfn.FORECAST.LINEAR(RIGHT(Z$6,2), $J327:$U327, VALUE(RIGHT($J$6:$U$6,2))), 0)</f>
      </c>
      <c r="AA327" s="71" cm="1">
        <f t="array" ref="AA327">IFERROR(_xlfn.FORECAST.LINEAR(RIGHT(AA$6,2), $J327:$U327, VALUE(RIGHT($J$6:$U$6,2))), 0)</f>
      </c>
      <c r="AB327" s="71" cm="1">
        <f t="array" ref="AB327">IFERROR(_xlfn.FORECAST.LINEAR(RIGHT(AB$6,2), $J327:$U327, VALUE(RIGHT($J$6:$U$6,2))), 0)</f>
      </c>
      <c r="AC327" s="71" cm="1">
        <f t="array" ref="AC327">IFERROR(_xlfn.FORECAST.LINEAR(RIGHT(AC$6,2), $J327:$U327, VALUE(RIGHT($J$6:$U$6,2))), 0)</f>
      </c>
      <c r="AD327" s="71" cm="1">
        <f t="array" ref="AD327">IFERROR(_xlfn.FORECAST.LINEAR(RIGHT(AD$6,2), $J327:$U327, VALUE(RIGHT($J$6:$U$6,2))), 0)</f>
      </c>
      <c r="AE327" s="71" cm="1">
        <f t="array" ref="AE327">IFERROR(_xlfn.FORECAST.LINEAR(RIGHT(AE$6,2), $J327:$U327, VALUE(RIGHT($J$6:$U$6,2))), 0)</f>
      </c>
      <c r="AF327" s="71" cm="1">
        <f t="array" ref="AF327">IFERROR(_xlfn.FORECAST.LINEAR(RIGHT(AF$6,2), $J327:$U327, VALUE(RIGHT($J$6:$U$6,2))), 0)</f>
      </c>
      <c r="AG327" s="71" cm="1">
        <f t="array" ref="AG327">IFERROR(_xlfn.FORECAST.LINEAR(RIGHT(AG$6,2), $J327:$U327, VALUE(RIGHT($J$6:$U$6,2))), 0)</f>
      </c>
      <c r="AH327" s="71" cm="1">
        <f t="array" ref="AH327">IFERROR(_xlfn.FORECAST.LINEAR(RIGHT(AH$6,2), $J327:$U327, VALUE(RIGHT($J$6:$U$6,2))), 0)</f>
      </c>
    </row>
    <row r="328" spans="3:34" x14ac:dyDescent="0.3">
      <c r="C328" s="2" t="s">
        <v>73</v>
      </c>
      <c r="J328" s="91">
        <f t="shared" ref="J328:K328" si="406">J325-J326+J327</f>
      </c>
      <c r="K328" s="91">
        <f t="shared" si="406"/>
      </c>
      <c r="L328" s="91">
        <f>L325-L326+L327</f>
      </c>
      <c r="M328" s="91">
        <f t="shared" ref="M328:U328" si="407">M325-M326+M327</f>
      </c>
      <c r="N328" s="91">
        <f t="shared" si="407"/>
      </c>
      <c r="O328" s="91">
        <f t="shared" si="407"/>
      </c>
      <c r="P328" s="91">
        <f t="shared" si="407"/>
      </c>
      <c r="Q328" s="91">
        <f t="shared" si="407"/>
      </c>
      <c r="R328" s="91">
        <f t="shared" si="407"/>
      </c>
      <c r="S328" s="91">
        <f t="shared" si="407"/>
      </c>
      <c r="T328" s="91">
        <f t="shared" si="407"/>
      </c>
      <c r="U328" s="91">
        <f t="shared" si="407"/>
      </c>
      <c r="Y328" s="91">
        <f t="shared" ref="Y328" si="408">Y325-Y326+Y327</f>
      </c>
      <c r="Z328" s="91">
        <f t="shared" ref="Z328" si="409">Z325-Z326+Z327</f>
      </c>
      <c r="AA328" s="91">
        <f t="shared" ref="AA328" si="410">AA325-AA326+AA327</f>
      </c>
      <c r="AB328" s="91">
        <f t="shared" ref="AB328" si="411">AB325-AB326+AB327</f>
      </c>
      <c r="AC328" s="91">
        <f t="shared" ref="AC328" si="412">AC325-AC326+AC327</f>
      </c>
      <c r="AD328" s="91">
        <f t="shared" ref="AD328" si="413">AD325-AD326+AD327</f>
      </c>
      <c r="AE328" s="91">
        <f t="shared" ref="AE328" si="414">AE325-AE326+AE327</f>
      </c>
      <c r="AF328" s="91">
        <f t="shared" ref="AF328" si="415">AF325-AF326+AF327</f>
      </c>
      <c r="AG328" s="91">
        <f t="shared" ref="AG328" si="416">AG325-AG326+AG327</f>
      </c>
      <c r="AH328" s="91">
        <f t="shared" ref="AH328" si="417">AH325-AH326+AH327</f>
      </c>
    </row>
    <row r="329" spans="3:34" x14ac:dyDescent="0.3">
      <c r="C329" s="2"/>
      <c r="D329" s="78" t="s">
        <v>233</v>
      </c>
      <c r="J329" s="92">
        <f t="shared" ref="J329:T329" si="418">IFERROR(J328/(J325+J327), 0)</f>
      </c>
      <c r="K329" s="92">
        <f t="shared" si="418"/>
      </c>
      <c r="L329" s="92">
        <f t="shared" si="418"/>
      </c>
      <c r="M329" s="92">
        <f t="shared" si="418"/>
      </c>
      <c r="N329" s="92">
        <f t="shared" si="418"/>
      </c>
      <c r="O329" s="92">
        <f t="shared" si="418"/>
      </c>
      <c r="P329" s="92">
        <f t="shared" si="418"/>
      </c>
      <c r="Q329" s="92">
        <f t="shared" si="418"/>
      </c>
      <c r="R329" s="92">
        <f t="shared" si="418"/>
      </c>
      <c r="S329" s="92">
        <f t="shared" si="418"/>
      </c>
      <c r="T329" s="92">
        <f t="shared" si="418"/>
      </c>
      <c r="U329" s="92">
        <f>IFERROR(U328/(U325+U327), 0)</f>
      </c>
      <c r="Y329" s="92">
        <f t="shared" ref="Y329:AH329" si="419">IFERROR(Y328/(Y325+Y327), 0)</f>
      </c>
      <c r="Z329" s="92">
        <f t="shared" si="419"/>
      </c>
      <c r="AA329" s="92">
        <f t="shared" si="419"/>
      </c>
      <c r="AB329" s="92">
        <f t="shared" si="419"/>
      </c>
      <c r="AC329" s="92">
        <f t="shared" si="419"/>
      </c>
      <c r="AD329" s="92">
        <f t="shared" si="419"/>
      </c>
      <c r="AE329" s="92">
        <f t="shared" si="419"/>
      </c>
      <c r="AF329" s="92">
        <f t="shared" si="419"/>
      </c>
      <c r="AG329" s="92">
        <f t="shared" si="419"/>
      </c>
      <c r="AH329" s="92">
        <f t="shared" si="419"/>
      </c>
    </row>
    <row r="330" spans="3:34" x14ac:dyDescent="0.3">
      <c r="C330" s="2"/>
      <c r="D330" s="78" t="s">
        <v>634</v>
      </c>
      <c r="J330" s="92">
        <f t="shared" ref="J330:T330" si="420">IFERROR((J328-J327)/J325, 0)</f>
      </c>
      <c r="K330" s="92">
        <f t="shared" si="420"/>
      </c>
      <c r="L330" s="92">
        <f t="shared" si="420"/>
      </c>
      <c r="M330" s="92">
        <f t="shared" si="420"/>
      </c>
      <c r="N330" s="92">
        <f t="shared" si="420"/>
      </c>
      <c r="O330" s="92">
        <f t="shared" si="420"/>
      </c>
      <c r="P330" s="92">
        <f t="shared" si="420"/>
      </c>
      <c r="Q330" s="92">
        <f t="shared" si="420"/>
      </c>
      <c r="R330" s="92">
        <f t="shared" si="420"/>
      </c>
      <c r="S330" s="92">
        <f t="shared" si="420"/>
      </c>
      <c r="T330" s="92">
        <f t="shared" si="420"/>
      </c>
      <c r="U330" s="92">
        <f>IFERROR((U328-U327)/U325, 0)</f>
      </c>
      <c r="Y330" s="92">
        <f t="shared" ref="Y330:AH330" si="421">IFERROR((Y328-Y327)/Y325, 0)</f>
      </c>
      <c r="Z330" s="92">
        <f t="shared" si="421"/>
      </c>
      <c r="AA330" s="92">
        <f t="shared" si="421"/>
      </c>
      <c r="AB330" s="92">
        <f t="shared" si="421"/>
      </c>
      <c r="AC330" s="92">
        <f t="shared" si="421"/>
      </c>
      <c r="AD330" s="92">
        <f t="shared" si="421"/>
      </c>
      <c r="AE330" s="92">
        <f t="shared" si="421"/>
      </c>
      <c r="AF330" s="92">
        <f t="shared" si="421"/>
      </c>
      <c r="AG330" s="92">
        <f t="shared" si="421"/>
      </c>
      <c r="AH330" s="92">
        <f t="shared" si="421"/>
      </c>
    </row>
    <row r="331" spans="3:34" x14ac:dyDescent="0.3">
      <c r="C331" t="s">
        <v>5</v>
      </c>
      <c r="J331" s="56"/>
      <c r="K331" s="56"/>
      <c r="L331" s="56">
        <f>IFERROR('Data Sheet'!B26, 0)</f>
      </c>
      <c r="M331" s="56">
        <f>IFERROR('Data Sheet'!C26, 0)</f>
      </c>
      <c r="N331" s="56">
        <f>IFERROR('Data Sheet'!D26, 0)</f>
      </c>
      <c r="O331" s="56">
        <f>IFERROR('Data Sheet'!E26, 0)</f>
      </c>
      <c r="P331" s="56">
        <f>IFERROR('Data Sheet'!F26, 0)</f>
      </c>
      <c r="Q331" s="56">
        <f>IFERROR('Data Sheet'!G26, 0)</f>
      </c>
      <c r="R331" s="56">
        <f>IFERROR('Data Sheet'!H26, 0)</f>
      </c>
      <c r="S331" s="56">
        <f>IFERROR('Data Sheet'!I26, 0)</f>
      </c>
      <c r="T331" s="56">
        <f>IFERROR('Data Sheet'!J26, 0)</f>
      </c>
      <c r="U331" s="56">
        <f>IFERROR('Data Sheet'!K26, 0)</f>
      </c>
      <c r="Y331" s="71" cm="1">
        <f t="array" ref="Y331">IFERROR(_xlfn.FORECAST.LINEAR(RIGHT(Y$6,2), $J331:$U331, VALUE(RIGHT($J$6:$U$6,2))), 0)</f>
      </c>
      <c r="Z331" s="71" cm="1">
        <f t="array" ref="Z331">IFERROR(_xlfn.FORECAST.LINEAR(RIGHT(Z$6,2), $J331:$U331, VALUE(RIGHT($J$6:$U$6,2))), 0)</f>
      </c>
      <c r="AA331" s="71" cm="1">
        <f t="array" ref="AA331">IFERROR(_xlfn.FORECAST.LINEAR(RIGHT(AA$6,2), $J331:$U331, VALUE(RIGHT($J$6:$U$6,2))), 0)</f>
      </c>
      <c r="AB331" s="71" cm="1">
        <f t="array" ref="AB331">IFERROR(_xlfn.FORECAST.LINEAR(RIGHT(AB$6,2), $J331:$U331, VALUE(RIGHT($J$6:$U$6,2))), 0)</f>
      </c>
      <c r="AC331" s="71" cm="1">
        <f t="array" ref="AC331">IFERROR(_xlfn.FORECAST.LINEAR(RIGHT(AC$6,2), $J331:$U331, VALUE(RIGHT($J$6:$U$6,2))), 0)</f>
      </c>
      <c r="AD331" s="71" cm="1">
        <f t="array" ref="AD331">IFERROR(_xlfn.FORECAST.LINEAR(RIGHT(AD$6,2), $J331:$U331, VALUE(RIGHT($J$6:$U$6,2))), 0)</f>
      </c>
      <c r="AE331" s="71" cm="1">
        <f t="array" ref="AE331">IFERROR(_xlfn.FORECAST.LINEAR(RIGHT(AE$6,2), $J331:$U331, VALUE(RIGHT($J$6:$U$6,2))), 0)</f>
      </c>
      <c r="AF331" s="71" cm="1">
        <f t="array" ref="AF331">IFERROR(_xlfn.FORECAST.LINEAR(RIGHT(AF$6,2), $J331:$U331, VALUE(RIGHT($J$6:$U$6,2))), 0)</f>
      </c>
      <c r="AG331" s="71" cm="1">
        <f t="array" ref="AG331">IFERROR(_xlfn.FORECAST.LINEAR(RIGHT(AG$6,2), $J331:$U331, VALUE(RIGHT($J$6:$U$6,2))), 0)</f>
      </c>
      <c r="AH331" s="71" cm="1">
        <f t="array" ref="AH331">IFERROR(_xlfn.FORECAST.LINEAR(RIGHT(AH$6,2), $J331:$U331, VALUE(RIGHT($J$6:$U$6,2))), 0)</f>
      </c>
    </row>
    <row r="332" spans="3:34" x14ac:dyDescent="0.3">
      <c r="C332" s="2" t="s">
        <v>74</v>
      </c>
      <c r="J332" s="91">
        <f>J328-J331</f>
      </c>
      <c r="K332" s="91">
        <f t="shared" ref="K332:U332" si="422">K328-K331</f>
      </c>
      <c r="L332" s="91">
        <f t="shared" si="422"/>
      </c>
      <c r="M332" s="91">
        <f t="shared" si="422"/>
      </c>
      <c r="N332" s="91">
        <f t="shared" si="422"/>
      </c>
      <c r="O332" s="91">
        <f t="shared" si="422"/>
      </c>
      <c r="P332" s="91">
        <f t="shared" si="422"/>
      </c>
      <c r="Q332" s="91">
        <f t="shared" si="422"/>
      </c>
      <c r="R332" s="91">
        <f t="shared" si="422"/>
      </c>
      <c r="S332" s="91">
        <f t="shared" si="422"/>
      </c>
      <c r="T332" s="91">
        <f t="shared" si="422"/>
      </c>
      <c r="U332" s="91">
        <f t="shared" si="422"/>
      </c>
      <c r="Y332" s="91">
        <f t="shared" ref="Y332:AH332" si="423">Y328-Y331</f>
      </c>
      <c r="Z332" s="91">
        <f t="shared" si="423"/>
      </c>
      <c r="AA332" s="91">
        <f t="shared" si="423"/>
      </c>
      <c r="AB332" s="91">
        <f t="shared" si="423"/>
      </c>
      <c r="AC332" s="91">
        <f t="shared" si="423"/>
      </c>
      <c r="AD332" s="91">
        <f t="shared" si="423"/>
      </c>
      <c r="AE332" s="91">
        <f t="shared" si="423"/>
      </c>
      <c r="AF332" s="91">
        <f t="shared" si="423"/>
      </c>
      <c r="AG332" s="91">
        <f t="shared" si="423"/>
      </c>
      <c r="AH332" s="91">
        <f t="shared" si="423"/>
      </c>
    </row>
    <row r="333" spans="3:34" x14ac:dyDescent="0.3">
      <c r="C333" s="2"/>
      <c r="D333" s="78" t="s">
        <v>234</v>
      </c>
      <c r="J333" s="92">
        <f t="shared" ref="J333:T333" si="424">IFERROR(J332/(J325+J327), 0)</f>
      </c>
      <c r="K333" s="92">
        <f t="shared" si="424"/>
      </c>
      <c r="L333" s="92">
        <f t="shared" si="424"/>
      </c>
      <c r="M333" s="92">
        <f t="shared" si="424"/>
      </c>
      <c r="N333" s="92">
        <f t="shared" si="424"/>
      </c>
      <c r="O333" s="92">
        <f t="shared" si="424"/>
      </c>
      <c r="P333" s="92">
        <f t="shared" si="424"/>
      </c>
      <c r="Q333" s="92">
        <f t="shared" si="424"/>
      </c>
      <c r="R333" s="92">
        <f t="shared" si="424"/>
      </c>
      <c r="S333" s="92">
        <f t="shared" si="424"/>
      </c>
      <c r="T333" s="92">
        <f t="shared" si="424"/>
      </c>
      <c r="U333" s="92">
        <f>IFERROR(U332/(U325+U327), 0)</f>
      </c>
      <c r="Y333" s="92">
        <f t="shared" ref="Y333:AH333" si="425">IFERROR(Y332/(Y325+Y327), 0)</f>
      </c>
      <c r="Z333" s="92">
        <f t="shared" si="425"/>
      </c>
      <c r="AA333" s="92">
        <f t="shared" si="425"/>
      </c>
      <c r="AB333" s="92">
        <f t="shared" si="425"/>
      </c>
      <c r="AC333" s="92">
        <f t="shared" si="425"/>
      </c>
      <c r="AD333" s="92">
        <f t="shared" si="425"/>
      </c>
      <c r="AE333" s="92">
        <f t="shared" si="425"/>
      </c>
      <c r="AF333" s="92">
        <f t="shared" si="425"/>
      </c>
      <c r="AG333" s="92">
        <f t="shared" si="425"/>
      </c>
      <c r="AH333" s="92">
        <f t="shared" si="425"/>
      </c>
    </row>
    <row r="334" spans="3:34" ht="15.75" customHeight="1" x14ac:dyDescent="0.3">
      <c r="D334" s="78" t="s">
        <v>633</v>
      </c>
      <c r="J334" s="92">
        <f t="shared" ref="J334:T334" si="426">IFERROR((J332-J327)/J325, 0)</f>
      </c>
      <c r="K334" s="92">
        <f t="shared" si="426"/>
      </c>
      <c r="L334" s="92">
        <f t="shared" si="426"/>
      </c>
      <c r="M334" s="92">
        <f t="shared" si="426"/>
      </c>
      <c r="N334" s="92">
        <f t="shared" si="426"/>
      </c>
      <c r="O334" s="92">
        <f t="shared" si="426"/>
      </c>
      <c r="P334" s="92">
        <f t="shared" si="426"/>
      </c>
      <c r="Q334" s="92">
        <f t="shared" si="426"/>
      </c>
      <c r="R334" s="92">
        <f t="shared" si="426"/>
      </c>
      <c r="S334" s="92">
        <f t="shared" si="426"/>
      </c>
      <c r="T334" s="92">
        <f t="shared" si="426"/>
      </c>
      <c r="U334" s="92">
        <f>IFERROR((U332-U327)/U325, 0)</f>
      </c>
      <c r="Y334" s="92">
        <f t="shared" ref="Y334:AH334" si="427">IFERROR((Y332-Y327)/Y325, 0)</f>
      </c>
      <c r="Z334" s="92">
        <f t="shared" si="427"/>
      </c>
      <c r="AA334" s="92">
        <f t="shared" si="427"/>
      </c>
      <c r="AB334" s="92">
        <f t="shared" si="427"/>
      </c>
      <c r="AC334" s="92">
        <f t="shared" si="427"/>
      </c>
      <c r="AD334" s="92">
        <f t="shared" si="427"/>
      </c>
      <c r="AE334" s="92">
        <f t="shared" si="427"/>
      </c>
      <c r="AF334" s="92">
        <f t="shared" si="427"/>
      </c>
      <c r="AG334" s="92">
        <f t="shared" si="427"/>
      </c>
      <c r="AH334" s="92">
        <f t="shared" si="427"/>
      </c>
    </row>
    <row r="335" spans="3:34" x14ac:dyDescent="0.3">
      <c r="C335" t="s">
        <v>231</v>
      </c>
      <c r="J335" s="56"/>
      <c r="K335" s="56"/>
      <c r="L335" s="56">
        <f>IFERROR('Data Sheet'!B27, 0)</f>
      </c>
      <c r="M335" s="56">
        <f>IFERROR('Data Sheet'!C27, 0)</f>
      </c>
      <c r="N335" s="56">
        <f>IFERROR('Data Sheet'!D27, 0)</f>
      </c>
      <c r="O335" s="56">
        <f>IFERROR('Data Sheet'!E27, 0)</f>
      </c>
      <c r="P335" s="56">
        <f>IFERROR('Data Sheet'!F27, 0)</f>
      </c>
      <c r="Q335" s="56">
        <f>IFERROR('Data Sheet'!G27, 0)</f>
      </c>
      <c r="R335" s="56">
        <f>IFERROR('Data Sheet'!H27, 0)</f>
      </c>
      <c r="S335" s="56">
        <f>IFERROR('Data Sheet'!I27, 0)</f>
      </c>
      <c r="T335" s="56">
        <f>IFERROR('Data Sheet'!J27, 0)</f>
      </c>
      <c r="U335" s="56">
        <f>IFERROR('Data Sheet'!K27, 0)</f>
      </c>
      <c r="Y335" s="71" cm="1">
        <f t="array" ref="Y335">IFERROR(_xlfn.FORECAST.LINEAR(RIGHT(Y$6,2), $J335:$U335, VALUE(RIGHT($J$6:$U$6,2))), 0)</f>
      </c>
      <c r="Z335" s="71" cm="1">
        <f t="array" ref="Z335">IFERROR(_xlfn.FORECAST.LINEAR(RIGHT(Z$6,2), $J335:$U335, VALUE(RIGHT($J$6:$U$6,2))), 0)</f>
      </c>
      <c r="AA335" s="71" cm="1">
        <f t="array" ref="AA335">IFERROR(_xlfn.FORECAST.LINEAR(RIGHT(AA$6,2), $J335:$U335, VALUE(RIGHT($J$6:$U$6,2))), 0)</f>
      </c>
      <c r="AB335" s="71" cm="1">
        <f t="array" ref="AB335">IFERROR(_xlfn.FORECAST.LINEAR(RIGHT(AB$6,2), $J335:$U335, VALUE(RIGHT($J$6:$U$6,2))), 0)</f>
      </c>
      <c r="AC335" s="71" cm="1">
        <f t="array" ref="AC335">IFERROR(_xlfn.FORECAST.LINEAR(RIGHT(AC$6,2), $J335:$U335, VALUE(RIGHT($J$6:$U$6,2))), 0)</f>
      </c>
      <c r="AD335" s="71" cm="1">
        <f t="array" ref="AD335">IFERROR(_xlfn.FORECAST.LINEAR(RIGHT(AD$6,2), $J335:$U335, VALUE(RIGHT($J$6:$U$6,2))), 0)</f>
      </c>
      <c r="AE335" s="71" cm="1">
        <f t="array" ref="AE335">IFERROR(_xlfn.FORECAST.LINEAR(RIGHT(AE$6,2), $J335:$U335, VALUE(RIGHT($J$6:$U$6,2))), 0)</f>
      </c>
      <c r="AF335" s="71" cm="1">
        <f t="array" ref="AF335">IFERROR(_xlfn.FORECAST.LINEAR(RIGHT(AF$6,2), $J335:$U335, VALUE(RIGHT($J$6:$U$6,2))), 0)</f>
      </c>
      <c r="AG335" s="71" cm="1">
        <f t="array" ref="AG335">IFERROR(_xlfn.FORECAST.LINEAR(RIGHT(AG$6,2), $J335:$U335, VALUE(RIGHT($J$6:$U$6,2))), 0)</f>
      </c>
      <c r="AH335" s="71" cm="1">
        <f t="array" ref="AH335">IFERROR(_xlfn.FORECAST.LINEAR(RIGHT(AH$6,2), $J335:$U335, VALUE(RIGHT($J$6:$U$6,2))), 0)</f>
      </c>
    </row>
    <row r="336" spans="3:34" x14ac:dyDescent="0.3">
      <c r="C336" s="2" t="s">
        <v>97</v>
      </c>
      <c r="J336" s="91">
        <f>J332-J335</f>
      </c>
      <c r="K336" s="91">
        <f t="shared" ref="K336:U336" si="428">K332-K335</f>
      </c>
      <c r="L336" s="91">
        <f t="shared" si="428"/>
      </c>
      <c r="M336" s="91">
        <f t="shared" si="428"/>
      </c>
      <c r="N336" s="91">
        <f t="shared" si="428"/>
      </c>
      <c r="O336" s="91">
        <f t="shared" si="428"/>
      </c>
      <c r="P336" s="91">
        <f t="shared" si="428"/>
      </c>
      <c r="Q336" s="91">
        <f t="shared" si="428"/>
      </c>
      <c r="R336" s="91">
        <f t="shared" si="428"/>
      </c>
      <c r="S336" s="91">
        <f t="shared" si="428"/>
      </c>
      <c r="T336" s="91">
        <f t="shared" si="428"/>
      </c>
      <c r="U336" s="91">
        <f t="shared" si="428"/>
      </c>
      <c r="Y336" s="91">
        <f t="shared" ref="Y336:AH336" si="429">Y332-Y335</f>
      </c>
      <c r="Z336" s="91">
        <f t="shared" si="429"/>
      </c>
      <c r="AA336" s="91">
        <f t="shared" si="429"/>
      </c>
      <c r="AB336" s="91">
        <f t="shared" si="429"/>
      </c>
      <c r="AC336" s="91">
        <f t="shared" si="429"/>
      </c>
      <c r="AD336" s="91">
        <f t="shared" si="429"/>
      </c>
      <c r="AE336" s="91">
        <f t="shared" si="429"/>
      </c>
      <c r="AF336" s="91">
        <f t="shared" si="429"/>
      </c>
      <c r="AG336" s="91">
        <f t="shared" si="429"/>
      </c>
      <c r="AH336" s="91">
        <f t="shared" si="429"/>
      </c>
    </row>
    <row r="337" spans="3:34" ht="3" customHeight="1" x14ac:dyDescent="0.3"/>
    <row r="338" spans="3:34" x14ac:dyDescent="0.3">
      <c r="C338" t="s">
        <v>147</v>
      </c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</row>
    <row r="339" spans="3:34" ht="3" customHeight="1" x14ac:dyDescent="0.3"/>
    <row r="340" spans="3:34" x14ac:dyDescent="0.3">
      <c r="C340" t="s">
        <v>235</v>
      </c>
      <c r="J340" s="56"/>
      <c r="K340" s="56"/>
      <c r="L340" s="56">
        <f>IFERROR('Data Sheet'!B29, 0)</f>
      </c>
      <c r="M340" s="56">
        <f>IFERROR('Data Sheet'!C29, 0)</f>
      </c>
      <c r="N340" s="56">
        <f>IFERROR('Data Sheet'!D29, 0)</f>
      </c>
      <c r="O340" s="56">
        <f>IFERROR('Data Sheet'!E29, 0)</f>
      </c>
      <c r="P340" s="56">
        <f>IFERROR('Data Sheet'!F29, 0)</f>
      </c>
      <c r="Q340" s="56">
        <f>IFERROR('Data Sheet'!G29, 0)</f>
      </c>
      <c r="R340" s="56">
        <f>IFERROR('Data Sheet'!H29, 0)</f>
      </c>
      <c r="S340" s="56">
        <f>IFERROR('Data Sheet'!I29, 0)</f>
      </c>
      <c r="T340" s="56">
        <f>IFERROR('Data Sheet'!J29, 0)</f>
      </c>
      <c r="U340" s="56">
        <f>IFERROR('Data Sheet'!K29, 0)</f>
      </c>
      <c r="Y340" s="71">
        <f>$U340/$U336*Y336</f>
      </c>
      <c r="Z340" s="71">
        <f t="shared" ref="Z340:AH340" si="430">$U340/$U336*Z336</f>
      </c>
      <c r="AA340" s="71">
        <f t="shared" si="430"/>
      </c>
      <c r="AB340" s="71">
        <f t="shared" si="430"/>
      </c>
      <c r="AC340" s="71">
        <f t="shared" si="430"/>
      </c>
      <c r="AD340" s="71">
        <f t="shared" si="430"/>
      </c>
      <c r="AE340" s="71">
        <f t="shared" si="430"/>
      </c>
      <c r="AF340" s="71">
        <f t="shared" si="430"/>
      </c>
      <c r="AG340" s="71">
        <f t="shared" si="430"/>
      </c>
      <c r="AH340" s="71">
        <f t="shared" si="430"/>
      </c>
    </row>
    <row r="341" spans="3:34" x14ac:dyDescent="0.3">
      <c r="C341" t="s">
        <v>236</v>
      </c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</row>
    <row r="342" spans="3:34" x14ac:dyDescent="0.3">
      <c r="C342" s="2" t="s">
        <v>237</v>
      </c>
      <c r="J342" s="40">
        <f>J341+J340</f>
      </c>
      <c r="K342" s="40">
        <f t="shared" ref="K342:U342" si="431">K341+K340</f>
      </c>
      <c r="L342" s="40">
        <f t="shared" si="431"/>
      </c>
      <c r="M342" s="40">
        <f t="shared" si="431"/>
      </c>
      <c r="N342" s="40">
        <f t="shared" si="431"/>
      </c>
      <c r="O342" s="40">
        <f t="shared" si="431"/>
      </c>
      <c r="P342" s="40">
        <f t="shared" si="431"/>
      </c>
      <c r="Q342" s="40">
        <f t="shared" si="431"/>
      </c>
      <c r="R342" s="40">
        <f t="shared" si="431"/>
      </c>
      <c r="S342" s="40">
        <f t="shared" si="431"/>
      </c>
      <c r="T342" s="40">
        <f t="shared" si="431"/>
      </c>
      <c r="U342" s="40">
        <f t="shared" si="431"/>
      </c>
      <c r="Y342" s="40">
        <f t="shared" ref="Y342:AH342" si="432">Y341+Y340</f>
      </c>
      <c r="Z342" s="40">
        <f t="shared" si="432"/>
      </c>
      <c r="AA342" s="40">
        <f t="shared" si="432"/>
      </c>
      <c r="AB342" s="40">
        <f t="shared" si="432"/>
      </c>
      <c r="AC342" s="40">
        <f t="shared" si="432"/>
      </c>
      <c r="AD342" s="40">
        <f t="shared" si="432"/>
      </c>
      <c r="AE342" s="40">
        <f t="shared" si="432"/>
      </c>
      <c r="AF342" s="40">
        <f t="shared" si="432"/>
      </c>
      <c r="AG342" s="40">
        <f t="shared" si="432"/>
      </c>
      <c r="AH342" s="40">
        <f t="shared" si="432"/>
      </c>
    </row>
    <row r="343" spans="3:34" ht="15" thickBot="1" x14ac:dyDescent="0.35">
      <c r="D343" s="78" t="s">
        <v>86</v>
      </c>
      <c r="J343" s="92">
        <f t="shared" ref="J343:T343" si="433">IFERROR(J342/(J336+J338), 0)</f>
      </c>
      <c r="K343" s="92">
        <f t="shared" si="433"/>
      </c>
      <c r="L343" s="92">
        <f t="shared" si="433"/>
      </c>
      <c r="M343" s="92">
        <f t="shared" si="433"/>
      </c>
      <c r="N343" s="92">
        <f t="shared" si="433"/>
      </c>
      <c r="O343" s="92">
        <f t="shared" si="433"/>
      </c>
      <c r="P343" s="92">
        <f t="shared" si="433"/>
      </c>
      <c r="Q343" s="92">
        <f t="shared" si="433"/>
      </c>
      <c r="R343" s="92">
        <f t="shared" si="433"/>
      </c>
      <c r="S343" s="92">
        <f t="shared" si="433"/>
      </c>
      <c r="T343" s="92">
        <f t="shared" si="433"/>
      </c>
      <c r="U343" s="92">
        <f>IFERROR(U342/(U336+U338), 0)</f>
      </c>
      <c r="Y343" s="92">
        <f t="shared" ref="Y343:AH343" si="434">IFERROR(Y342/(Y336+Y338), 0)</f>
      </c>
      <c r="Z343" s="92">
        <f t="shared" si="434"/>
      </c>
      <c r="AA343" s="92">
        <f t="shared" si="434"/>
      </c>
      <c r="AB343" s="92">
        <f t="shared" si="434"/>
      </c>
      <c r="AC343" s="92">
        <f t="shared" si="434"/>
      </c>
      <c r="AD343" s="92">
        <f t="shared" si="434"/>
      </c>
      <c r="AE343" s="92">
        <f t="shared" si="434"/>
      </c>
      <c r="AF343" s="92">
        <f t="shared" si="434"/>
      </c>
      <c r="AG343" s="92">
        <f t="shared" si="434"/>
      </c>
      <c r="AH343" s="92">
        <f t="shared" si="434"/>
      </c>
    </row>
    <row r="344" spans="3:34" ht="15" thickBot="1" x14ac:dyDescent="0.35">
      <c r="C344" s="2" t="s">
        <v>238</v>
      </c>
      <c r="J344" s="219">
        <f>J336+J338-J342</f>
      </c>
      <c r="K344" s="219">
        <f t="shared" ref="K344:U344" si="435">K336+K338-K342</f>
      </c>
      <c r="L344" s="219">
        <f t="shared" si="435"/>
      </c>
      <c r="M344" s="219">
        <f t="shared" si="435"/>
      </c>
      <c r="N344" s="219">
        <f t="shared" si="435"/>
      </c>
      <c r="O344" s="219">
        <f t="shared" si="435"/>
      </c>
      <c r="P344" s="219">
        <f t="shared" si="435"/>
      </c>
      <c r="Q344" s="219">
        <f t="shared" si="435"/>
      </c>
      <c r="R344" s="219">
        <f t="shared" si="435"/>
      </c>
      <c r="S344" s="219">
        <f t="shared" si="435"/>
      </c>
      <c r="T344" s="219">
        <f t="shared" si="435"/>
      </c>
      <c r="U344" s="219">
        <f t="shared" si="435"/>
      </c>
      <c r="Y344" s="93">
        <f t="shared" ref="Y344:AH344" si="436">Y336+Y338-Y342</f>
      </c>
      <c r="Z344" s="93">
        <f t="shared" si="436"/>
      </c>
      <c r="AA344" s="93">
        <f t="shared" si="436"/>
      </c>
      <c r="AB344" s="93">
        <f t="shared" si="436"/>
      </c>
      <c r="AC344" s="93">
        <f t="shared" si="436"/>
      </c>
      <c r="AD344" s="93">
        <f t="shared" si="436"/>
      </c>
      <c r="AE344" s="93">
        <f t="shared" si="436"/>
      </c>
      <c r="AF344" s="93">
        <f t="shared" si="436"/>
      </c>
      <c r="AG344" s="93">
        <f t="shared" si="436"/>
      </c>
      <c r="AH344" s="93">
        <f t="shared" si="436"/>
      </c>
    </row>
    <row r="345" spans="3:34" ht="15" thickTop="1" x14ac:dyDescent="0.3">
      <c r="D345" s="78" t="s">
        <v>244</v>
      </c>
      <c r="J345" s="92">
        <f>IFERROR(J344/J325, 0)</f>
      </c>
      <c r="K345" s="92">
        <f t="shared" ref="K345:U345" si="437">IFERROR(K344/K325, 0)</f>
      </c>
      <c r="L345" s="92">
        <f t="shared" si="437"/>
      </c>
      <c r="M345" s="92">
        <f t="shared" si="437"/>
      </c>
      <c r="N345" s="92">
        <f t="shared" si="437"/>
      </c>
      <c r="O345" s="92">
        <f t="shared" si="437"/>
      </c>
      <c r="P345" s="92">
        <f t="shared" si="437"/>
      </c>
      <c r="Q345" s="92">
        <f t="shared" si="437"/>
      </c>
      <c r="R345" s="92">
        <f t="shared" si="437"/>
      </c>
      <c r="S345" s="92">
        <f t="shared" si="437"/>
      </c>
      <c r="T345" s="92">
        <f t="shared" si="437"/>
      </c>
      <c r="U345" s="92">
        <f t="shared" si="437"/>
      </c>
      <c r="Y345" s="92">
        <f t="shared" ref="Y345:AH345" si="438">IFERROR(Y344/Y325, 0)</f>
      </c>
      <c r="Z345" s="92">
        <f t="shared" si="438"/>
      </c>
      <c r="AA345" s="92">
        <f t="shared" si="438"/>
      </c>
      <c r="AB345" s="92">
        <f t="shared" si="438"/>
      </c>
      <c r="AC345" s="92">
        <f t="shared" si="438"/>
      </c>
      <c r="AD345" s="92">
        <f t="shared" si="438"/>
      </c>
      <c r="AE345" s="92">
        <f t="shared" si="438"/>
      </c>
      <c r="AF345" s="92">
        <f t="shared" si="438"/>
      </c>
      <c r="AG345" s="92">
        <f t="shared" si="438"/>
      </c>
      <c r="AH345" s="92">
        <f t="shared" si="438"/>
      </c>
    </row>
    <row r="346" spans="3:34" ht="3" customHeight="1" thickBot="1" x14ac:dyDescent="0.35"/>
    <row r="347" spans="3:34" ht="15" thickBot="1" x14ac:dyDescent="0.35">
      <c r="C347" s="2" t="s">
        <v>239</v>
      </c>
      <c r="J347" s="220"/>
      <c r="K347" s="220"/>
      <c r="L347" s="220">
        <f>'Data Sheet'!B31</f>
      </c>
      <c r="M347" s="220">
        <f>'Data Sheet'!C31</f>
      </c>
      <c r="N347" s="220">
        <f>'Data Sheet'!D31</f>
      </c>
      <c r="O347" s="220">
        <f>'Data Sheet'!E31</f>
      </c>
      <c r="P347" s="220">
        <f>'Data Sheet'!F31</f>
      </c>
      <c r="Q347" s="220">
        <f>'Data Sheet'!G31</f>
      </c>
      <c r="R347" s="220">
        <f>'Data Sheet'!H31</f>
      </c>
      <c r="S347" s="220">
        <f>'Data Sheet'!I31</f>
      </c>
      <c r="T347" s="220">
        <f>'Data Sheet'!J31</f>
      </c>
      <c r="U347" s="220">
        <f>'Data Sheet'!K31</f>
      </c>
      <c r="Y347" s="93">
        <f>Y344</f>
      </c>
      <c r="Z347" s="93">
        <f t="shared" ref="Z347:AH347" si="439">Z344</f>
      </c>
      <c r="AA347" s="93">
        <f t="shared" si="439"/>
      </c>
      <c r="AB347" s="93">
        <f t="shared" si="439"/>
      </c>
      <c r="AC347" s="93">
        <f t="shared" si="439"/>
      </c>
      <c r="AD347" s="93">
        <f t="shared" si="439"/>
      </c>
      <c r="AE347" s="93">
        <f t="shared" si="439"/>
      </c>
      <c r="AF347" s="93">
        <f t="shared" si="439"/>
      </c>
      <c r="AG347" s="93">
        <f t="shared" si="439"/>
      </c>
      <c r="AH347" s="93">
        <f t="shared" si="439"/>
      </c>
    </row>
    <row r="348" spans="3:34" ht="15" thickTop="1" x14ac:dyDescent="0.3"/>
    <row r="349" spans="3:34" x14ac:dyDescent="0.3">
      <c r="C349" s="2" t="s">
        <v>240</v>
      </c>
      <c r="H349" s="225" t="s">
        <v>410</v>
      </c>
      <c r="J349" s="56"/>
      <c r="K349" s="56"/>
      <c r="L349" s="56">
        <f>IFERROR('Data Sheet'!B93, 0)</f>
      </c>
      <c r="M349" s="56">
        <f>IFERROR('Data Sheet'!C93, 0)</f>
      </c>
      <c r="N349" s="56">
        <f>IFERROR('Data Sheet'!D93, 0)</f>
      </c>
      <c r="O349" s="56">
        <f>IFERROR('Data Sheet'!E93, 0)</f>
      </c>
      <c r="P349" s="56">
        <f>IFERROR('Data Sheet'!F93, 0)</f>
      </c>
      <c r="Q349" s="56">
        <f>IFERROR('Data Sheet'!G93, 0)</f>
      </c>
      <c r="R349" s="56">
        <f>IFERROR('Data Sheet'!H93, 0)</f>
      </c>
      <c r="S349" s="56">
        <f>IFERROR('Data Sheet'!I93, 0)</f>
      </c>
      <c r="T349" s="56">
        <f>IFERROR('Data Sheet'!J93, 0)</f>
      </c>
      <c r="U349" s="56">
        <f>IFERROR('Data Sheet'!K93, 0)</f>
      </c>
      <c r="Y349" s="40">
        <f>$U349</f>
      </c>
      <c r="Z349" s="40">
        <f t="shared" ref="Z349:AH349" si="440">$U349</f>
      </c>
      <c r="AA349" s="40">
        <f t="shared" si="440"/>
      </c>
      <c r="AB349" s="40">
        <f t="shared" si="440"/>
      </c>
      <c r="AC349" s="40">
        <f t="shared" si="440"/>
      </c>
      <c r="AD349" s="40">
        <f t="shared" si="440"/>
      </c>
      <c r="AE349" s="40">
        <f t="shared" si="440"/>
      </c>
      <c r="AF349" s="40">
        <f t="shared" si="440"/>
      </c>
      <c r="AG349" s="40">
        <f t="shared" si="440"/>
      </c>
      <c r="AH349" s="40">
        <f t="shared" si="440"/>
      </c>
    </row>
    <row r="350" spans="3:34" x14ac:dyDescent="0.3">
      <c r="C350" s="2" t="s">
        <v>368</v>
      </c>
      <c r="H350" s="225" t="s">
        <v>133</v>
      </c>
      <c r="J350" s="56">
        <f t="shared" ref="J350" si="441">IFERROR(J347/J349, 0)</f>
      </c>
      <c r="K350" s="56">
        <f t="shared" ref="K350" si="442">IFERROR(K347/K349, 0)</f>
      </c>
      <c r="L350" s="56">
        <f t="shared" ref="L350:T350" si="443">IFERROR(L347/L349, 0)</f>
      </c>
      <c r="M350" s="56">
        <f t="shared" si="443"/>
      </c>
      <c r="N350" s="56">
        <f t="shared" si="443"/>
      </c>
      <c r="O350" s="56">
        <f t="shared" si="443"/>
      </c>
      <c r="P350" s="56">
        <f t="shared" si="443"/>
      </c>
      <c r="Q350" s="56">
        <f t="shared" si="443"/>
      </c>
      <c r="R350" s="56">
        <f t="shared" si="443"/>
      </c>
      <c r="S350" s="56">
        <f t="shared" si="443"/>
      </c>
      <c r="T350" s="56">
        <f t="shared" si="443"/>
      </c>
      <c r="U350" s="56">
        <f>IFERROR(U347/U349, 0)</f>
      </c>
      <c r="Y350" s="40">
        <f>IFERROR(Y347/Y349, 0)</f>
      </c>
      <c r="Z350" s="40">
        <f t="shared" ref="Z350:AH350" si="444">IFERROR(Z347/Z349, 0)</f>
      </c>
      <c r="AA350" s="40">
        <f t="shared" si="444"/>
      </c>
      <c r="AB350" s="40">
        <f t="shared" si="444"/>
      </c>
      <c r="AC350" s="40">
        <f t="shared" si="444"/>
      </c>
      <c r="AD350" s="40">
        <f t="shared" si="444"/>
      </c>
      <c r="AE350" s="40">
        <f t="shared" si="444"/>
      </c>
      <c r="AF350" s="40">
        <f t="shared" si="444"/>
      </c>
      <c r="AG350" s="40">
        <f t="shared" si="444"/>
      </c>
      <c r="AH350" s="40">
        <f t="shared" si="444"/>
      </c>
    </row>
    <row r="351" spans="3:34" x14ac:dyDescent="0.3">
      <c r="C351" s="2" t="s">
        <v>116</v>
      </c>
      <c r="H351" s="77" t="str">
        <f>H350</f>
      </c>
      <c r="J351" s="56"/>
      <c r="K351" s="56"/>
      <c r="L351" s="56">
        <f>IFERROR('Data Sheet'!B90, 0)</f>
      </c>
      <c r="M351" s="56">
        <f>IFERROR('Data Sheet'!C90, 0)</f>
      </c>
      <c r="N351" s="56">
        <f>IFERROR('Data Sheet'!D90, 0)</f>
      </c>
      <c r="O351" s="56">
        <f>IFERROR('Data Sheet'!E90, 0)</f>
      </c>
      <c r="P351" s="56">
        <f>IFERROR('Data Sheet'!F90, 0)</f>
      </c>
      <c r="Q351" s="56">
        <f>IFERROR('Data Sheet'!G90, 0)</f>
      </c>
      <c r="R351" s="56">
        <f>IFERROR('Data Sheet'!H90, 0)</f>
      </c>
      <c r="S351" s="56">
        <f>IFERROR('Data Sheet'!I90, 0)</f>
      </c>
      <c r="T351" s="56">
        <f>IFERROR('Data Sheet'!J90, 0)</f>
      </c>
      <c r="U351" s="56">
        <f>IFERROR('Data Sheet'!K90, 0)</f>
      </c>
      <c r="Y351" s="56">
        <f>$U$353*Y350</f>
      </c>
      <c r="Z351" s="56">
        <f t="shared" ref="Z351:AH351" si="445">$U$353*Z350</f>
      </c>
      <c r="AA351" s="56">
        <f t="shared" si="445"/>
      </c>
      <c r="AB351" s="56">
        <f t="shared" si="445"/>
      </c>
      <c r="AC351" s="56">
        <f t="shared" si="445"/>
      </c>
      <c r="AD351" s="56">
        <f t="shared" si="445"/>
      </c>
      <c r="AE351" s="56">
        <f t="shared" si="445"/>
      </c>
      <c r="AF351" s="56">
        <f t="shared" si="445"/>
      </c>
      <c r="AG351" s="56">
        <f t="shared" si="445"/>
      </c>
      <c r="AH351" s="56">
        <f t="shared" si="445"/>
      </c>
    </row>
    <row r="352" spans="3:34" x14ac:dyDescent="0.3">
      <c r="C352" s="2" t="s">
        <v>241</v>
      </c>
      <c r="H352" s="77" t="str">
        <f>$H$10</f>
      </c>
      <c r="J352" s="71">
        <f t="shared" ref="J352:T352" si="446">IFERROR(J351*J349, 0)</f>
      </c>
      <c r="K352" s="71">
        <f t="shared" si="446"/>
      </c>
      <c r="L352" s="71">
        <f t="shared" si="446"/>
      </c>
      <c r="M352" s="71">
        <f t="shared" si="446"/>
      </c>
      <c r="N352" s="71">
        <f t="shared" si="446"/>
      </c>
      <c r="O352" s="71">
        <f t="shared" si="446"/>
      </c>
      <c r="P352" s="71">
        <f t="shared" si="446"/>
      </c>
      <c r="Q352" s="71">
        <f t="shared" si="446"/>
      </c>
      <c r="R352" s="71">
        <f t="shared" si="446"/>
      </c>
      <c r="S352" s="71">
        <f t="shared" si="446"/>
      </c>
      <c r="T352" s="71">
        <f t="shared" si="446"/>
      </c>
      <c r="U352" s="71">
        <f>IFERROR(U351*U349, 0)</f>
      </c>
      <c r="Y352" s="71">
        <f t="shared" ref="Y352:AH352" si="447">IFERROR(Y351*Y349, 0)</f>
      </c>
      <c r="Z352" s="71">
        <f t="shared" si="447"/>
      </c>
      <c r="AA352" s="71">
        <f t="shared" si="447"/>
      </c>
      <c r="AB352" s="71">
        <f t="shared" si="447"/>
      </c>
      <c r="AC352" s="71">
        <f t="shared" si="447"/>
      </c>
      <c r="AD352" s="71">
        <f t="shared" si="447"/>
      </c>
      <c r="AE352" s="71">
        <f t="shared" si="447"/>
      </c>
      <c r="AF352" s="71">
        <f t="shared" si="447"/>
      </c>
      <c r="AG352" s="71">
        <f t="shared" si="447"/>
      </c>
      <c r="AH352" s="71">
        <f t="shared" si="447"/>
      </c>
    </row>
    <row r="353" spans="2:34" x14ac:dyDescent="0.3">
      <c r="C353" s="2" t="s">
        <v>242</v>
      </c>
      <c r="J353" s="71">
        <f>IFERROR(J351/J350, 0)</f>
      </c>
      <c r="K353" s="71">
        <f t="shared" ref="K353:U353" si="448">IFERROR(K351/K350, 0)</f>
      </c>
      <c r="L353" s="71">
        <f t="shared" si="448"/>
      </c>
      <c r="M353" s="71">
        <f t="shared" si="448"/>
      </c>
      <c r="N353" s="71">
        <f t="shared" si="448"/>
      </c>
      <c r="O353" s="71">
        <f t="shared" si="448"/>
      </c>
      <c r="P353" s="71">
        <f t="shared" si="448"/>
      </c>
      <c r="Q353" s="71">
        <f t="shared" si="448"/>
      </c>
      <c r="R353" s="71">
        <f t="shared" si="448"/>
      </c>
      <c r="S353" s="71">
        <f t="shared" si="448"/>
      </c>
      <c r="T353" s="71">
        <f t="shared" si="448"/>
      </c>
      <c r="U353" s="71">
        <f t="shared" si="448"/>
      </c>
      <c r="Y353" s="71">
        <f t="shared" ref="Y353:AH353" si="449">IFERROR(Y351/Y350, 0)</f>
      </c>
      <c r="Z353" s="71">
        <f t="shared" si="449"/>
      </c>
      <c r="AA353" s="71">
        <f t="shared" si="449"/>
      </c>
      <c r="AB353" s="71">
        <f t="shared" si="449"/>
      </c>
      <c r="AC353" s="71">
        <f t="shared" si="449"/>
      </c>
      <c r="AD353" s="71">
        <f t="shared" si="449"/>
      </c>
      <c r="AE353" s="71">
        <f t="shared" si="449"/>
      </c>
      <c r="AF353" s="71">
        <f t="shared" si="449"/>
      </c>
      <c r="AG353" s="71">
        <f t="shared" si="449"/>
      </c>
      <c r="AH353" s="71">
        <f t="shared" si="449"/>
      </c>
    </row>
    <row r="354" spans="2:34" x14ac:dyDescent="0.3">
      <c r="C354" s="2" t="s">
        <v>112</v>
      </c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8" spans="2:34" ht="18" x14ac:dyDescent="0.35">
      <c r="B358" s="148" t="str">
        <f>'Assumptions&amp;Scenario'!$K$10</f>
      </c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</row>
    <row r="359" spans="2:34" ht="18" thickBot="1" x14ac:dyDescent="0.35">
      <c r="B359" s="47" t="s">
        <v>408</v>
      </c>
      <c r="C359" s="48"/>
      <c r="D359" s="48"/>
      <c r="E359" s="48"/>
      <c r="F359" s="48"/>
      <c r="G359" s="48"/>
      <c r="H359" s="49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Y359" s="47" t="s">
        <v>310</v>
      </c>
      <c r="Z359" s="48"/>
      <c r="AA359" s="48"/>
      <c r="AB359" s="48"/>
      <c r="AC359" s="48"/>
      <c r="AD359" s="48"/>
      <c r="AE359" s="48"/>
      <c r="AF359" s="48"/>
      <c r="AG359" s="48"/>
      <c r="AH359" s="48"/>
    </row>
    <row r="360" spans="2:34" x14ac:dyDescent="0.3">
      <c r="C360" s="2"/>
      <c r="D360" s="2"/>
      <c r="E360" s="2"/>
      <c r="F360" s="2"/>
      <c r="J360" s="40">
        <v>1</v>
      </c>
      <c r="K360" s="40">
        <v>2</v>
      </c>
      <c r="L360" s="89">
        <v>2</v>
      </c>
      <c r="M360" s="89">
        <v>4</v>
      </c>
      <c r="N360" s="89">
        <v>5</v>
      </c>
      <c r="O360" s="89">
        <v>6</v>
      </c>
      <c r="P360" s="89">
        <v>7</v>
      </c>
      <c r="Q360" s="89">
        <v>8</v>
      </c>
      <c r="R360" s="89">
        <v>9</v>
      </c>
      <c r="S360" s="89">
        <v>10</v>
      </c>
      <c r="T360" s="89">
        <v>11</v>
      </c>
      <c r="U360" s="89">
        <v>12</v>
      </c>
      <c r="V360" s="40"/>
      <c r="W360" s="40"/>
      <c r="X360" s="40"/>
      <c r="Y360" s="89">
        <v>13</v>
      </c>
      <c r="Z360" s="89">
        <v>14</v>
      </c>
      <c r="AA360" s="89">
        <v>15</v>
      </c>
      <c r="AB360" s="89">
        <v>16</v>
      </c>
      <c r="AC360" s="89">
        <v>17</v>
      </c>
      <c r="AD360" s="89">
        <v>18</v>
      </c>
      <c r="AE360" s="89">
        <v>19</v>
      </c>
      <c r="AF360" s="89">
        <v>20</v>
      </c>
      <c r="AG360" s="89">
        <v>21</v>
      </c>
      <c r="AH360" s="89">
        <v>22</v>
      </c>
    </row>
    <row r="361" spans="2:34" ht="15.6" x14ac:dyDescent="0.3">
      <c r="C361" s="43" t="s">
        <v>25</v>
      </c>
      <c r="D361" s="43"/>
      <c r="E361" s="43"/>
      <c r="F361" s="43"/>
      <c r="G361" s="43"/>
      <c r="H361" s="44"/>
      <c r="I361" s="44"/>
      <c r="J361" s="44" t="str">
        <f t="shared" ref="J361" si="450">"FY"&amp;TEXT(MID(K361,3,2)-IF(RIGHT(K361,1)="1",1,0),"00")&amp;"Q"&amp;CHOOSE(RIGHT(K361,1)+0,4,1,2,3)</f>
      </c>
      <c r="K361" s="44" t="str">
        <f t="shared" ref="K361" si="451">"FY"&amp;TEXT(MID(L361,3,2)-IF(RIGHT(L361,1)="1",1,0),"00")&amp;"Q"&amp;CHOOSE(RIGHT(L361,1)+0,4,1,2,3)</f>
      </c>
      <c r="L361" s="79" t="str">
        <f t="shared" ref="L361" si="452">"FY"&amp;TEXT(MID(M361,3,2)-IF(RIGHT(M361,1)="1",1,0),"00")&amp;"Q"&amp;CHOOSE(RIGHT(M361,1)+0,4,1,2,3)</f>
      </c>
      <c r="M361" s="79" t="str">
        <f t="shared" ref="M361" si="453">"FY"&amp;TEXT(MID(N361,3,2)-IF(RIGHT(N361,1)="1",1,0),"00")&amp;"Q"&amp;CHOOSE(RIGHT(N361,1)+0,4,1,2,3)</f>
      </c>
      <c r="N361" s="79" t="str">
        <f t="shared" ref="N361" si="454">"FY"&amp;TEXT(MID(O361,3,2)-IF(RIGHT(O361,1)="1",1,0),"00")&amp;"Q"&amp;CHOOSE(RIGHT(O361,1)+0,4,1,2,3)</f>
      </c>
      <c r="O361" s="79" t="str">
        <f t="shared" ref="O361" si="455">"FY"&amp;TEXT(MID(P361,3,2)-IF(RIGHT(P361,1)="1",1,0),"00")&amp;"Q"&amp;CHOOSE(RIGHT(P361,1)+0,4,1,2,3)</f>
      </c>
      <c r="P361" s="79" t="str">
        <f t="shared" ref="P361" si="456">"FY"&amp;TEXT(MID(Q361,3,2)-IF(RIGHT(Q361,1)="1",1,0),"00")&amp;"Q"&amp;CHOOSE(RIGHT(Q361,1)+0,4,1,2,3)</f>
      </c>
      <c r="Q361" s="79" t="str">
        <f t="shared" ref="Q361" si="457">"FY"&amp;TEXT(MID(R361,3,2)-IF(RIGHT(R361,1)="1",1,0),"00")&amp;"Q"&amp;CHOOSE(RIGHT(R361,1)+0,4,1,2,3)</f>
      </c>
      <c r="R361" s="79" t="str">
        <f t="shared" ref="R361" si="458">"FY"&amp;TEXT(MID(S361,3,2)-IF(RIGHT(S361,1)="1",1,0),"00")&amp;"Q"&amp;CHOOSE(RIGHT(S361,1)+0,4,1,2,3)</f>
      </c>
      <c r="S361" s="79" t="str">
        <f t="shared" ref="S361" si="459">"FY"&amp;TEXT(MID(T361,3,2)-IF(RIGHT(T361,1)="1",1,0),"00")&amp;"Q"&amp;CHOOSE(RIGHT(T361,1)+0,4,1,2,3)</f>
      </c>
      <c r="T361" s="79" t="str">
        <f>"FY"&amp;TEXT(MID(U361,3,2)-IF(RIGHT(U361,1)="1",1,0),"00")&amp;"Q"&amp;CHOOSE(RIGHT(U361,1)+0,4,1,2,3)</f>
      </c>
      <c r="U361" s="79" t="str">
        <f>"FY"&amp;TEXT(YEAR('Data Sheet'!$K$41)+(MONTH('Data Sheet'!$K$41)&gt;3)-2000,"00")&amp;"Q"&amp;INT((MOD(MONTH('Data Sheet'!$K$41)-4,12))/3)+1</f>
      </c>
      <c r="Y361" s="44" t="str">
        <f>Model!$N$31</f>
      </c>
      <c r="Z361" s="44" t="str">
        <f t="shared" ref="Z361" si="460">"FY"&amp;TEXT(MID(Y361,3,2)+IF(RIGHT(Y361,1)="4",1,0),"00")&amp;"Q"&amp;MOD(RIGHT(Y361,1),4)+1</f>
      </c>
      <c r="AA361" s="44" t="str">
        <f t="shared" ref="AA361" si="461">"FY"&amp;TEXT(MID(Z361,3,2)+IF(RIGHT(Z361,1)="4",1,0),"00")&amp;"Q"&amp;MOD(RIGHT(Z361,1),4)+1</f>
      </c>
      <c r="AB361" s="44" t="str">
        <f t="shared" ref="AB361" si="462">"FY"&amp;TEXT(MID(AA361,3,2)+IF(RIGHT(AA361,1)="4",1,0),"00")&amp;"Q"&amp;MOD(RIGHT(AA361,1),4)+1</f>
      </c>
      <c r="AC361" s="44" t="str">
        <f t="shared" ref="AC361" si="463">"FY"&amp;TEXT(MID(AB361,3,2)+IF(RIGHT(AB361,1)="4",1,0),"00")&amp;"Q"&amp;MOD(RIGHT(AB361,1),4)+1</f>
      </c>
      <c r="AD361" s="44" t="str">
        <f t="shared" ref="AD361" si="464">"FY"&amp;TEXT(MID(AC361,3,2)+IF(RIGHT(AC361,1)="4",1,0),"00")&amp;"Q"&amp;MOD(RIGHT(AC361,1),4)+1</f>
      </c>
      <c r="AE361" s="44" t="str">
        <f t="shared" ref="AE361" si="465">"FY"&amp;TEXT(MID(AD361,3,2)+IF(RIGHT(AD361,1)="4",1,0),"00")&amp;"Q"&amp;MOD(RIGHT(AD361,1),4)+1</f>
      </c>
      <c r="AF361" s="44" t="str">
        <f t="shared" ref="AF361" si="466">"FY"&amp;TEXT(MID(AE361,3,2)+IF(RIGHT(AE361,1)="4",1,0),"00")&amp;"Q"&amp;MOD(RIGHT(AE361,1),4)+1</f>
      </c>
      <c r="AG361" s="44" t="str">
        <f t="shared" ref="AG361" si="467">"FY"&amp;TEXT(MID(AF361,3,2)+IF(RIGHT(AF361,1)="4",1,0),"00")&amp;"Q"&amp;MOD(RIGHT(AF361,1),4)+1</f>
      </c>
      <c r="AH361" s="44" t="str">
        <f t="shared" ref="AH361" si="468">"FY"&amp;TEXT(MID(AG361,3,2)+IF(RIGHT(AG361,1)="4",1,0),"00")&amp;"Q"&amp;MOD(RIGHT(AG361,1),4)+1</f>
      </c>
    </row>
    <row r="362" spans="2:34" ht="3" customHeight="1" x14ac:dyDescent="0.3"/>
    <row r="363" spans="2:34" ht="3" customHeight="1" x14ac:dyDescent="0.3"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2:34" ht="3" customHeight="1" x14ac:dyDescent="0.3"/>
    <row r="365" spans="2:34" x14ac:dyDescent="0.3">
      <c r="C365" s="2" t="str">
        <f>$C$37</f>
      </c>
      <c r="H365" s="77" t="str">
        <f>'Assumptions&amp;Scenario'!K42</f>
      </c>
      <c r="J365" s="40">
        <f t="shared" ref="J365:U365" si="469">J225</f>
      </c>
      <c r="K365" s="40">
        <f t="shared" si="469"/>
      </c>
      <c r="L365" s="40">
        <f t="shared" si="469"/>
      </c>
      <c r="M365" s="40">
        <f t="shared" si="469"/>
      </c>
      <c r="N365" s="40">
        <f t="shared" si="469"/>
      </c>
      <c r="O365" s="40">
        <f t="shared" si="469"/>
      </c>
      <c r="P365" s="40">
        <f t="shared" si="469"/>
      </c>
      <c r="Q365" s="40">
        <f t="shared" si="469"/>
      </c>
      <c r="R365" s="40">
        <f t="shared" si="469"/>
      </c>
      <c r="S365" s="40">
        <f t="shared" si="469"/>
      </c>
      <c r="T365" s="40">
        <f t="shared" si="469"/>
      </c>
      <c r="U365" s="40">
        <f t="shared" si="469"/>
      </c>
      <c r="Y365" s="40">
        <f t="shared" ref="Y365:AH365" si="470">Y225</f>
      </c>
      <c r="Z365" s="40">
        <f t="shared" si="470"/>
      </c>
      <c r="AA365" s="40">
        <f t="shared" si="470"/>
      </c>
      <c r="AB365" s="40">
        <f t="shared" si="470"/>
      </c>
      <c r="AC365" s="40">
        <f t="shared" si="470"/>
      </c>
      <c r="AD365" s="40">
        <f t="shared" si="470"/>
      </c>
      <c r="AE365" s="40">
        <f t="shared" si="470"/>
      </c>
      <c r="AF365" s="40">
        <f t="shared" si="470"/>
      </c>
      <c r="AG365" s="40">
        <f t="shared" si="470"/>
      </c>
      <c r="AH365" s="40">
        <f t="shared" si="470"/>
      </c>
    </row>
    <row r="366" spans="2:34" ht="3" customHeight="1" x14ac:dyDescent="0.3"/>
    <row r="367" spans="2:34" x14ac:dyDescent="0.3">
      <c r="C367" s="2" t="s">
        <v>83</v>
      </c>
      <c r="H367" s="77" t="str">
        <f>$H$10</f>
      </c>
      <c r="J367" s="91">
        <f t="shared" ref="J367:U367" si="471">J94</f>
      </c>
      <c r="K367" s="91">
        <f t="shared" si="471"/>
      </c>
      <c r="L367" s="91">
        <f t="shared" si="471"/>
      </c>
      <c r="M367" s="91">
        <f t="shared" si="471"/>
      </c>
      <c r="N367" s="91">
        <f t="shared" si="471"/>
      </c>
      <c r="O367" s="91">
        <f t="shared" si="471"/>
      </c>
      <c r="P367" s="91">
        <f t="shared" si="471"/>
      </c>
      <c r="Q367" s="91">
        <f t="shared" si="471"/>
      </c>
      <c r="R367" s="91">
        <f t="shared" si="471"/>
      </c>
      <c r="S367" s="91">
        <f t="shared" si="471"/>
      </c>
      <c r="T367" s="91">
        <f t="shared" si="471"/>
      </c>
      <c r="U367" s="91">
        <f t="shared" si="471"/>
      </c>
      <c r="Y367" s="91">
        <f t="shared" ref="Y367:AH367" si="472">Y94</f>
      </c>
      <c r="Z367" s="91">
        <f t="shared" si="472"/>
      </c>
      <c r="AA367" s="91">
        <f t="shared" si="472"/>
      </c>
      <c r="AB367" s="91">
        <f t="shared" si="472"/>
      </c>
      <c r="AC367" s="91">
        <f t="shared" si="472"/>
      </c>
      <c r="AD367" s="91">
        <f t="shared" si="472"/>
      </c>
      <c r="AE367" s="91">
        <f t="shared" si="472"/>
      </c>
      <c r="AF367" s="91">
        <f t="shared" si="472"/>
      </c>
      <c r="AG367" s="91">
        <f t="shared" si="472"/>
      </c>
      <c r="AH367" s="91">
        <f t="shared" si="472"/>
      </c>
    </row>
    <row r="368" spans="2:34" x14ac:dyDescent="0.3">
      <c r="C368" s="2" t="s">
        <v>232</v>
      </c>
      <c r="J368" s="40">
        <f t="shared" ref="J368:U368" si="473">J242</f>
      </c>
      <c r="K368" s="40">
        <f t="shared" si="473"/>
      </c>
      <c r="L368" s="40">
        <f t="shared" si="473"/>
      </c>
      <c r="M368" s="40">
        <f t="shared" si="473"/>
      </c>
      <c r="N368" s="40">
        <f t="shared" si="473"/>
      </c>
      <c r="O368" s="40">
        <f t="shared" si="473"/>
      </c>
      <c r="P368" s="40">
        <f t="shared" si="473"/>
      </c>
      <c r="Q368" s="40">
        <f t="shared" si="473"/>
      </c>
      <c r="R368" s="40">
        <f t="shared" si="473"/>
      </c>
      <c r="S368" s="40">
        <f t="shared" si="473"/>
      </c>
      <c r="T368" s="40">
        <f t="shared" si="473"/>
      </c>
      <c r="U368" s="40">
        <f t="shared" si="473"/>
      </c>
      <c r="Y368" s="40">
        <f t="shared" ref="Y368:AH368" si="474">Y242</f>
      </c>
      <c r="Z368" s="40">
        <f t="shared" si="474"/>
      </c>
      <c r="AA368" s="40">
        <f t="shared" si="474"/>
      </c>
      <c r="AB368" s="40">
        <f t="shared" si="474"/>
      </c>
      <c r="AC368" s="40">
        <f t="shared" si="474"/>
      </c>
      <c r="AD368" s="40">
        <f t="shared" si="474"/>
      </c>
      <c r="AE368" s="40">
        <f t="shared" si="474"/>
      </c>
      <c r="AF368" s="40">
        <f t="shared" si="474"/>
      </c>
      <c r="AG368" s="40">
        <f t="shared" si="474"/>
      </c>
      <c r="AH368" s="40">
        <f t="shared" si="474"/>
      </c>
    </row>
    <row r="369" spans="3:34" x14ac:dyDescent="0.3">
      <c r="C369" t="s">
        <v>4</v>
      </c>
      <c r="J369" s="56"/>
      <c r="K369" s="56"/>
      <c r="L369" s="56">
        <f>IFERROR('Data Sheet'!B44, 0)</f>
      </c>
      <c r="M369" s="56">
        <f>IFERROR('Data Sheet'!C44, 0)</f>
      </c>
      <c r="N369" s="56">
        <f>IFERROR('Data Sheet'!D44, 0)</f>
      </c>
      <c r="O369" s="56">
        <f>IFERROR('Data Sheet'!E44, 0)</f>
      </c>
      <c r="P369" s="56">
        <f>IFERROR('Data Sheet'!F44, 0)</f>
      </c>
      <c r="Q369" s="56">
        <f>IFERROR('Data Sheet'!G44, 0)</f>
      </c>
      <c r="R369" s="56">
        <f>IFERROR('Data Sheet'!H44, 0)</f>
      </c>
      <c r="S369" s="56">
        <f>IFERROR('Data Sheet'!I44, 0)</f>
      </c>
      <c r="T369" s="56">
        <f>IFERROR('Data Sheet'!J44, 0)</f>
      </c>
      <c r="U369" s="56">
        <f>IFERROR('Data Sheet'!K44, 0)</f>
      </c>
      <c r="Y369" s="71">
        <f>IFERROR(_xlfn.FORECAST.LINEAR(Y$360, $J369:$U369, $J$360:$U$360), 0)</f>
      </c>
      <c r="Z369" s="71">
        <f t="shared" ref="Z369:AH369" si="475">IFERROR(_xlfn.FORECAST.LINEAR(Z$360, $J369:$U369, $J$360:$U$360), 0)</f>
      </c>
      <c r="AA369" s="71">
        <f t="shared" si="475"/>
      </c>
      <c r="AB369" s="71">
        <f t="shared" si="475"/>
      </c>
      <c r="AC369" s="71">
        <f t="shared" si="475"/>
      </c>
      <c r="AD369" s="71">
        <f t="shared" si="475"/>
      </c>
      <c r="AE369" s="71">
        <f t="shared" si="475"/>
      </c>
      <c r="AF369" s="71">
        <f t="shared" si="475"/>
      </c>
      <c r="AG369" s="71">
        <f t="shared" si="475"/>
      </c>
      <c r="AH369" s="71">
        <f t="shared" si="475"/>
      </c>
    </row>
    <row r="370" spans="3:34" x14ac:dyDescent="0.3">
      <c r="C370" s="2" t="s">
        <v>73</v>
      </c>
      <c r="J370" s="91">
        <f t="shared" ref="J370:K370" si="476">J367-J368+J369</f>
      </c>
      <c r="K370" s="91">
        <f t="shared" si="476"/>
      </c>
      <c r="L370" s="91">
        <f>L367-L368+L369</f>
      </c>
      <c r="M370" s="91">
        <f t="shared" ref="M370:U370" si="477">M367-M368+M369</f>
      </c>
      <c r="N370" s="91">
        <f t="shared" si="477"/>
      </c>
      <c r="O370" s="91">
        <f t="shared" si="477"/>
      </c>
      <c r="P370" s="91">
        <f t="shared" si="477"/>
      </c>
      <c r="Q370" s="91">
        <f t="shared" si="477"/>
      </c>
      <c r="R370" s="91">
        <f t="shared" si="477"/>
      </c>
      <c r="S370" s="91">
        <f t="shared" si="477"/>
      </c>
      <c r="T370" s="91">
        <f t="shared" si="477"/>
      </c>
      <c r="U370" s="91">
        <f t="shared" si="477"/>
      </c>
      <c r="Y370" s="91">
        <f t="shared" ref="Y370:AH370" si="478">Y367-Y368+Y369</f>
      </c>
      <c r="Z370" s="91">
        <f t="shared" si="478"/>
      </c>
      <c r="AA370" s="91">
        <f t="shared" si="478"/>
      </c>
      <c r="AB370" s="91">
        <f t="shared" si="478"/>
      </c>
      <c r="AC370" s="91">
        <f t="shared" si="478"/>
      </c>
      <c r="AD370" s="91">
        <f t="shared" si="478"/>
      </c>
      <c r="AE370" s="91">
        <f t="shared" si="478"/>
      </c>
      <c r="AF370" s="91">
        <f t="shared" si="478"/>
      </c>
      <c r="AG370" s="91">
        <f t="shared" si="478"/>
      </c>
      <c r="AH370" s="91">
        <f t="shared" si="478"/>
      </c>
    </row>
    <row r="371" spans="3:34" x14ac:dyDescent="0.3">
      <c r="C371" s="2"/>
      <c r="D371" s="78" t="s">
        <v>233</v>
      </c>
      <c r="J371" s="92">
        <f t="shared" ref="J371:T371" si="479">IFERROR(J370/(J367+J369), 0)</f>
      </c>
      <c r="K371" s="92">
        <f t="shared" si="479"/>
      </c>
      <c r="L371" s="92">
        <f t="shared" si="479"/>
      </c>
      <c r="M371" s="92">
        <f t="shared" si="479"/>
      </c>
      <c r="N371" s="92">
        <f t="shared" si="479"/>
      </c>
      <c r="O371" s="92">
        <f t="shared" si="479"/>
      </c>
      <c r="P371" s="92">
        <f t="shared" si="479"/>
      </c>
      <c r="Q371" s="92">
        <f t="shared" si="479"/>
      </c>
      <c r="R371" s="92">
        <f t="shared" si="479"/>
      </c>
      <c r="S371" s="92">
        <f t="shared" si="479"/>
      </c>
      <c r="T371" s="92">
        <f t="shared" si="479"/>
      </c>
      <c r="U371" s="92">
        <f>IFERROR(U370/(U367+U369), 0)</f>
      </c>
      <c r="Y371" s="92">
        <f t="shared" ref="Y371:AH371" si="480">IFERROR(Y370/(Y367+Y369), 0)</f>
      </c>
      <c r="Z371" s="92">
        <f t="shared" si="480"/>
      </c>
      <c r="AA371" s="92">
        <f t="shared" si="480"/>
      </c>
      <c r="AB371" s="92">
        <f t="shared" si="480"/>
      </c>
      <c r="AC371" s="92">
        <f t="shared" si="480"/>
      </c>
      <c r="AD371" s="92">
        <f t="shared" si="480"/>
      </c>
      <c r="AE371" s="92">
        <f t="shared" si="480"/>
      </c>
      <c r="AF371" s="92">
        <f t="shared" si="480"/>
      </c>
      <c r="AG371" s="92">
        <f t="shared" si="480"/>
      </c>
      <c r="AH371" s="92">
        <f t="shared" si="480"/>
      </c>
    </row>
    <row r="372" spans="3:34" x14ac:dyDescent="0.3">
      <c r="C372" s="2"/>
      <c r="D372" s="78" t="s">
        <v>634</v>
      </c>
      <c r="J372" s="92">
        <f t="shared" ref="J372:T372" si="481">IFERROR((J370-J369)/J367, 0)</f>
      </c>
      <c r="K372" s="92">
        <f t="shared" si="481"/>
      </c>
      <c r="L372" s="92">
        <f t="shared" si="481"/>
      </c>
      <c r="M372" s="92">
        <f t="shared" si="481"/>
      </c>
      <c r="N372" s="92">
        <f t="shared" si="481"/>
      </c>
      <c r="O372" s="92">
        <f t="shared" si="481"/>
      </c>
      <c r="P372" s="92">
        <f t="shared" si="481"/>
      </c>
      <c r="Q372" s="92">
        <f t="shared" si="481"/>
      </c>
      <c r="R372" s="92">
        <f t="shared" si="481"/>
      </c>
      <c r="S372" s="92">
        <f t="shared" si="481"/>
      </c>
      <c r="T372" s="92">
        <f t="shared" si="481"/>
      </c>
      <c r="U372" s="92">
        <f>IFERROR((U370-U369)/U367, 0)</f>
      </c>
      <c r="Y372" s="92">
        <f t="shared" ref="Y372:AH372" si="482">IFERROR((Y370-Y369)/Y367, 0)</f>
      </c>
      <c r="Z372" s="92">
        <f t="shared" si="482"/>
      </c>
      <c r="AA372" s="92">
        <f t="shared" si="482"/>
      </c>
      <c r="AB372" s="92">
        <f t="shared" si="482"/>
      </c>
      <c r="AC372" s="92">
        <f t="shared" si="482"/>
      </c>
      <c r="AD372" s="92">
        <f t="shared" si="482"/>
      </c>
      <c r="AE372" s="92">
        <f t="shared" si="482"/>
      </c>
      <c r="AF372" s="92">
        <f t="shared" si="482"/>
      </c>
      <c r="AG372" s="92">
        <f t="shared" si="482"/>
      </c>
      <c r="AH372" s="92">
        <f t="shared" si="482"/>
      </c>
    </row>
    <row r="373" spans="3:34" x14ac:dyDescent="0.3">
      <c r="C373" t="s">
        <v>5</v>
      </c>
      <c r="J373" s="56"/>
      <c r="K373" s="56"/>
      <c r="L373" s="56">
        <f>IFERROR('Data Sheet'!B45, 0)</f>
      </c>
      <c r="M373" s="56">
        <f>IFERROR('Data Sheet'!C45, 0)</f>
      </c>
      <c r="N373" s="56">
        <f>IFERROR('Data Sheet'!D45, 0)</f>
      </c>
      <c r="O373" s="56">
        <f>IFERROR('Data Sheet'!E45, 0)</f>
      </c>
      <c r="P373" s="56">
        <f>IFERROR('Data Sheet'!F45, 0)</f>
      </c>
      <c r="Q373" s="56">
        <f>IFERROR('Data Sheet'!G45, 0)</f>
      </c>
      <c r="R373" s="56">
        <f>IFERROR('Data Sheet'!H45, 0)</f>
      </c>
      <c r="S373" s="56">
        <f>IFERROR('Data Sheet'!I45, 0)</f>
      </c>
      <c r="T373" s="56">
        <f>IFERROR('Data Sheet'!J45, 0)</f>
      </c>
      <c r="U373" s="56">
        <f>IFERROR('Data Sheet'!K45, 0)</f>
      </c>
      <c r="Y373" s="71">
        <f t="shared" ref="Y373:AH373" si="483">IFERROR(_xlfn.FORECAST.LINEAR(Y$360, $J373:$U373, $J$360:$U$360), 0)</f>
      </c>
      <c r="Z373" s="71">
        <f t="shared" si="483"/>
      </c>
      <c r="AA373" s="71">
        <f t="shared" si="483"/>
      </c>
      <c r="AB373" s="71">
        <f t="shared" si="483"/>
      </c>
      <c r="AC373" s="71">
        <f t="shared" si="483"/>
      </c>
      <c r="AD373" s="71">
        <f t="shared" si="483"/>
      </c>
      <c r="AE373" s="71">
        <f t="shared" si="483"/>
      </c>
      <c r="AF373" s="71">
        <f t="shared" si="483"/>
      </c>
      <c r="AG373" s="71">
        <f t="shared" si="483"/>
      </c>
      <c r="AH373" s="71">
        <f t="shared" si="483"/>
      </c>
    </row>
    <row r="374" spans="3:34" x14ac:dyDescent="0.3">
      <c r="C374" s="2" t="s">
        <v>74</v>
      </c>
      <c r="J374" s="91">
        <f>J370-J373</f>
      </c>
      <c r="K374" s="91">
        <f t="shared" ref="K374:U374" si="484">K370-K373</f>
      </c>
      <c r="L374" s="91">
        <f t="shared" si="484"/>
      </c>
      <c r="M374" s="91">
        <f t="shared" si="484"/>
      </c>
      <c r="N374" s="91">
        <f t="shared" si="484"/>
      </c>
      <c r="O374" s="91">
        <f t="shared" si="484"/>
      </c>
      <c r="P374" s="91">
        <f t="shared" si="484"/>
      </c>
      <c r="Q374" s="91">
        <f t="shared" si="484"/>
      </c>
      <c r="R374" s="91">
        <f t="shared" si="484"/>
      </c>
      <c r="S374" s="91">
        <f t="shared" si="484"/>
      </c>
      <c r="T374" s="91">
        <f t="shared" si="484"/>
      </c>
      <c r="U374" s="91">
        <f t="shared" si="484"/>
      </c>
      <c r="Y374" s="91">
        <f t="shared" ref="Y374:AH374" si="485">Y370-Y373</f>
      </c>
      <c r="Z374" s="91">
        <f t="shared" si="485"/>
      </c>
      <c r="AA374" s="91">
        <f t="shared" si="485"/>
      </c>
      <c r="AB374" s="91">
        <f t="shared" si="485"/>
      </c>
      <c r="AC374" s="91">
        <f t="shared" si="485"/>
      </c>
      <c r="AD374" s="91">
        <f t="shared" si="485"/>
      </c>
      <c r="AE374" s="91">
        <f t="shared" si="485"/>
      </c>
      <c r="AF374" s="91">
        <f t="shared" si="485"/>
      </c>
      <c r="AG374" s="91">
        <f t="shared" si="485"/>
      </c>
      <c r="AH374" s="91">
        <f t="shared" si="485"/>
      </c>
    </row>
    <row r="375" spans="3:34" x14ac:dyDescent="0.3">
      <c r="C375" s="2"/>
      <c r="D375" s="78" t="s">
        <v>234</v>
      </c>
      <c r="J375" s="92">
        <f t="shared" ref="J375:T375" si="486">IFERROR(J374/(J367+J369), 0)</f>
      </c>
      <c r="K375" s="92">
        <f t="shared" si="486"/>
      </c>
      <c r="L375" s="92">
        <f t="shared" si="486"/>
      </c>
      <c r="M375" s="92">
        <f t="shared" si="486"/>
      </c>
      <c r="N375" s="92">
        <f t="shared" si="486"/>
      </c>
      <c r="O375" s="92">
        <f t="shared" si="486"/>
      </c>
      <c r="P375" s="92">
        <f t="shared" si="486"/>
      </c>
      <c r="Q375" s="92">
        <f t="shared" si="486"/>
      </c>
      <c r="R375" s="92">
        <f t="shared" si="486"/>
      </c>
      <c r="S375" s="92">
        <f t="shared" si="486"/>
      </c>
      <c r="T375" s="92">
        <f t="shared" si="486"/>
      </c>
      <c r="U375" s="92">
        <f>IFERROR(U374/(U367+U369), 0)</f>
      </c>
      <c r="Y375" s="92">
        <f t="shared" ref="Y375:AH375" si="487">IFERROR(Y374/(Y367+Y369), 0)</f>
      </c>
      <c r="Z375" s="92">
        <f t="shared" si="487"/>
      </c>
      <c r="AA375" s="92">
        <f t="shared" si="487"/>
      </c>
      <c r="AB375" s="92">
        <f t="shared" si="487"/>
      </c>
      <c r="AC375" s="92">
        <f t="shared" si="487"/>
      </c>
      <c r="AD375" s="92">
        <f t="shared" si="487"/>
      </c>
      <c r="AE375" s="92">
        <f t="shared" si="487"/>
      </c>
      <c r="AF375" s="92">
        <f t="shared" si="487"/>
      </c>
      <c r="AG375" s="92">
        <f t="shared" si="487"/>
      </c>
      <c r="AH375" s="92">
        <f t="shared" si="487"/>
      </c>
    </row>
    <row r="376" spans="3:34" ht="15.75" customHeight="1" x14ac:dyDescent="0.3">
      <c r="D376" s="78" t="s">
        <v>633</v>
      </c>
      <c r="J376" s="92">
        <f t="shared" ref="J376:T376" si="488">IFERROR((J374-J369)/J367, 0)</f>
      </c>
      <c r="K376" s="92">
        <f t="shared" si="488"/>
      </c>
      <c r="L376" s="92">
        <f t="shared" si="488"/>
      </c>
      <c r="M376" s="92">
        <f t="shared" si="488"/>
      </c>
      <c r="N376" s="92">
        <f t="shared" si="488"/>
      </c>
      <c r="O376" s="92">
        <f t="shared" si="488"/>
      </c>
      <c r="P376" s="92">
        <f t="shared" si="488"/>
      </c>
      <c r="Q376" s="92">
        <f t="shared" si="488"/>
      </c>
      <c r="R376" s="92">
        <f t="shared" si="488"/>
      </c>
      <c r="S376" s="92">
        <f t="shared" si="488"/>
      </c>
      <c r="T376" s="92">
        <f t="shared" si="488"/>
      </c>
      <c r="U376" s="92">
        <f>IFERROR((U374-U369)/U367, 0)</f>
      </c>
      <c r="Y376" s="92">
        <f t="shared" ref="Y376:AH376" si="489">IFERROR((Y374-Y369)/Y367, 0)</f>
      </c>
      <c r="Z376" s="92">
        <f t="shared" si="489"/>
      </c>
      <c r="AA376" s="92">
        <f t="shared" si="489"/>
      </c>
      <c r="AB376" s="92">
        <f t="shared" si="489"/>
      </c>
      <c r="AC376" s="92">
        <f t="shared" si="489"/>
      </c>
      <c r="AD376" s="92">
        <f t="shared" si="489"/>
      </c>
      <c r="AE376" s="92">
        <f t="shared" si="489"/>
      </c>
      <c r="AF376" s="92">
        <f t="shared" si="489"/>
      </c>
      <c r="AG376" s="92">
        <f t="shared" si="489"/>
      </c>
      <c r="AH376" s="92">
        <f t="shared" si="489"/>
      </c>
    </row>
    <row r="377" spans="3:34" x14ac:dyDescent="0.3">
      <c r="C377" t="s">
        <v>231</v>
      </c>
      <c r="J377" s="56"/>
      <c r="K377" s="56"/>
      <c r="L377" s="56">
        <f>IFERROR('Data Sheet'!B46, 0)</f>
      </c>
      <c r="M377" s="56">
        <f>IFERROR('Data Sheet'!C46, 0)</f>
      </c>
      <c r="N377" s="56">
        <f>IFERROR('Data Sheet'!D46, 0)</f>
      </c>
      <c r="O377" s="56">
        <f>IFERROR('Data Sheet'!E46, 0)</f>
      </c>
      <c r="P377" s="56">
        <f>IFERROR('Data Sheet'!F46, 0)</f>
      </c>
      <c r="Q377" s="56">
        <f>IFERROR('Data Sheet'!G46, 0)</f>
      </c>
      <c r="R377" s="56">
        <f>IFERROR('Data Sheet'!H46, 0)</f>
      </c>
      <c r="S377" s="56">
        <f>IFERROR('Data Sheet'!I46, 0)</f>
      </c>
      <c r="T377" s="56">
        <f>IFERROR('Data Sheet'!J46, 0)</f>
      </c>
      <c r="U377" s="56">
        <f>IFERROR('Data Sheet'!K46, 0)</f>
      </c>
      <c r="Y377" s="71">
        <f t="shared" ref="Y377:AH377" si="490">IFERROR(_xlfn.FORECAST.LINEAR(Y$360, $J377:$U377, $J$360:$U$360), 0)</f>
      </c>
      <c r="Z377" s="71">
        <f t="shared" si="490"/>
      </c>
      <c r="AA377" s="71">
        <f t="shared" si="490"/>
      </c>
      <c r="AB377" s="71">
        <f t="shared" si="490"/>
      </c>
      <c r="AC377" s="71">
        <f t="shared" si="490"/>
      </c>
      <c r="AD377" s="71">
        <f t="shared" si="490"/>
      </c>
      <c r="AE377" s="71">
        <f t="shared" si="490"/>
      </c>
      <c r="AF377" s="71">
        <f t="shared" si="490"/>
      </c>
      <c r="AG377" s="71">
        <f t="shared" si="490"/>
      </c>
      <c r="AH377" s="71">
        <f t="shared" si="490"/>
      </c>
    </row>
    <row r="378" spans="3:34" x14ac:dyDescent="0.3">
      <c r="C378" s="2" t="s">
        <v>97</v>
      </c>
      <c r="J378" s="91">
        <f>J374-J377</f>
      </c>
      <c r="K378" s="91">
        <f t="shared" ref="K378:U378" si="491">K374-K377</f>
      </c>
      <c r="L378" s="91">
        <f t="shared" si="491"/>
      </c>
      <c r="M378" s="91">
        <f t="shared" si="491"/>
      </c>
      <c r="N378" s="91">
        <f t="shared" si="491"/>
      </c>
      <c r="O378" s="91">
        <f t="shared" si="491"/>
      </c>
      <c r="P378" s="91">
        <f t="shared" si="491"/>
      </c>
      <c r="Q378" s="91">
        <f t="shared" si="491"/>
      </c>
      <c r="R378" s="91">
        <f t="shared" si="491"/>
      </c>
      <c r="S378" s="91">
        <f t="shared" si="491"/>
      </c>
      <c r="T378" s="91">
        <f t="shared" si="491"/>
      </c>
      <c r="U378" s="91">
        <f t="shared" si="491"/>
      </c>
      <c r="Y378" s="91">
        <f t="shared" ref="Y378:AH378" si="492">Y374-Y377</f>
      </c>
      <c r="Z378" s="91">
        <f t="shared" si="492"/>
      </c>
      <c r="AA378" s="91">
        <f t="shared" si="492"/>
      </c>
      <c r="AB378" s="91">
        <f t="shared" si="492"/>
      </c>
      <c r="AC378" s="91">
        <f t="shared" si="492"/>
      </c>
      <c r="AD378" s="91">
        <f t="shared" si="492"/>
      </c>
      <c r="AE378" s="91">
        <f t="shared" si="492"/>
      </c>
      <c r="AF378" s="91">
        <f t="shared" si="492"/>
      </c>
      <c r="AG378" s="91">
        <f t="shared" si="492"/>
      </c>
      <c r="AH378" s="91">
        <f t="shared" si="492"/>
      </c>
    </row>
    <row r="379" spans="3:34" ht="3" customHeight="1" x14ac:dyDescent="0.3"/>
    <row r="380" spans="3:34" x14ac:dyDescent="0.3">
      <c r="C380" t="s">
        <v>147</v>
      </c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</row>
    <row r="381" spans="3:34" ht="3" customHeight="1" x14ac:dyDescent="0.3"/>
    <row r="382" spans="3:34" x14ac:dyDescent="0.3">
      <c r="C382" t="s">
        <v>235</v>
      </c>
      <c r="J382" s="56"/>
      <c r="K382" s="56"/>
      <c r="L382" s="56">
        <f>IFERROR('Data Sheet'!B48, 0)</f>
      </c>
      <c r="M382" s="56">
        <f>IFERROR('Data Sheet'!C48, 0)</f>
      </c>
      <c r="N382" s="56">
        <f>IFERROR('Data Sheet'!D48, 0)</f>
      </c>
      <c r="O382" s="56">
        <f>IFERROR('Data Sheet'!E48, 0)</f>
      </c>
      <c r="P382" s="56">
        <f>IFERROR('Data Sheet'!F48, 0)</f>
      </c>
      <c r="Q382" s="56">
        <f>IFERROR('Data Sheet'!G48, 0)</f>
      </c>
      <c r="R382" s="56">
        <f>IFERROR('Data Sheet'!H48, 0)</f>
      </c>
      <c r="S382" s="56">
        <f>IFERROR('Data Sheet'!I48, 0)</f>
      </c>
      <c r="T382" s="56">
        <f>IFERROR('Data Sheet'!J48, 0)</f>
      </c>
      <c r="U382" s="56">
        <f>IFERROR('Data Sheet'!K48, 0)</f>
      </c>
      <c r="Y382" s="71">
        <f>$U382/$U378*Y378</f>
      </c>
      <c r="Z382" s="71">
        <f t="shared" ref="Z382:AH382" si="493">$U382/$U378*Z378</f>
      </c>
      <c r="AA382" s="71">
        <f t="shared" si="493"/>
      </c>
      <c r="AB382" s="71">
        <f t="shared" si="493"/>
      </c>
      <c r="AC382" s="71">
        <f t="shared" si="493"/>
      </c>
      <c r="AD382" s="71">
        <f t="shared" si="493"/>
      </c>
      <c r="AE382" s="71">
        <f t="shared" si="493"/>
      </c>
      <c r="AF382" s="71">
        <f t="shared" si="493"/>
      </c>
      <c r="AG382" s="71">
        <f t="shared" si="493"/>
      </c>
      <c r="AH382" s="71">
        <f t="shared" si="493"/>
      </c>
    </row>
    <row r="383" spans="3:34" x14ac:dyDescent="0.3">
      <c r="C383" t="s">
        <v>236</v>
      </c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</row>
    <row r="384" spans="3:34" x14ac:dyDescent="0.3">
      <c r="C384" s="2" t="s">
        <v>237</v>
      </c>
      <c r="J384" s="40">
        <f t="shared" ref="J384:T384" si="494">J383+J382</f>
      </c>
      <c r="K384" s="40">
        <f t="shared" si="494"/>
      </c>
      <c r="L384" s="40">
        <f t="shared" si="494"/>
      </c>
      <c r="M384" s="40">
        <f t="shared" si="494"/>
      </c>
      <c r="N384" s="40">
        <f t="shared" si="494"/>
      </c>
      <c r="O384" s="40">
        <f t="shared" si="494"/>
      </c>
      <c r="P384" s="40">
        <f t="shared" si="494"/>
      </c>
      <c r="Q384" s="40">
        <f t="shared" si="494"/>
      </c>
      <c r="R384" s="40">
        <f t="shared" si="494"/>
      </c>
      <c r="S384" s="40">
        <f t="shared" si="494"/>
      </c>
      <c r="T384" s="40">
        <f t="shared" si="494"/>
      </c>
      <c r="U384" s="40">
        <f t="shared" ref="U384" si="495">U383+U382</f>
      </c>
      <c r="Y384" s="40">
        <f t="shared" ref="Y384:AH384" si="496">Y383+Y382</f>
      </c>
      <c r="Z384" s="40">
        <f t="shared" si="496"/>
      </c>
      <c r="AA384" s="40">
        <f t="shared" si="496"/>
      </c>
      <c r="AB384" s="40">
        <f t="shared" si="496"/>
      </c>
      <c r="AC384" s="40">
        <f t="shared" si="496"/>
      </c>
      <c r="AD384" s="40">
        <f t="shared" si="496"/>
      </c>
      <c r="AE384" s="40">
        <f t="shared" si="496"/>
      </c>
      <c r="AF384" s="40">
        <f t="shared" si="496"/>
      </c>
      <c r="AG384" s="40">
        <f t="shared" si="496"/>
      </c>
      <c r="AH384" s="40">
        <f t="shared" si="496"/>
      </c>
    </row>
    <row r="385" spans="3:34" ht="15" thickBot="1" x14ac:dyDescent="0.35">
      <c r="D385" s="78" t="s">
        <v>86</v>
      </c>
      <c r="J385" s="92">
        <f t="shared" ref="J385:T385" si="497">IFERROR(J384/(J378+J380), 0)</f>
      </c>
      <c r="K385" s="92">
        <f t="shared" si="497"/>
      </c>
      <c r="L385" s="92">
        <f t="shared" si="497"/>
      </c>
      <c r="M385" s="92">
        <f t="shared" si="497"/>
      </c>
      <c r="N385" s="92">
        <f t="shared" si="497"/>
      </c>
      <c r="O385" s="92">
        <f t="shared" si="497"/>
      </c>
      <c r="P385" s="92">
        <f t="shared" si="497"/>
      </c>
      <c r="Q385" s="92">
        <f t="shared" si="497"/>
      </c>
      <c r="R385" s="92">
        <f t="shared" si="497"/>
      </c>
      <c r="S385" s="92">
        <f t="shared" si="497"/>
      </c>
      <c r="T385" s="92">
        <f t="shared" si="497"/>
      </c>
      <c r="U385" s="92">
        <f>IFERROR(U384/(U378+U380), 0)</f>
      </c>
      <c r="Y385" s="92">
        <f t="shared" ref="Y385:AH385" si="498">IFERROR(Y384/(Y378+Y380), 0)</f>
      </c>
      <c r="Z385" s="92">
        <f t="shared" si="498"/>
      </c>
      <c r="AA385" s="92">
        <f t="shared" si="498"/>
      </c>
      <c r="AB385" s="92">
        <f t="shared" si="498"/>
      </c>
      <c r="AC385" s="92">
        <f t="shared" si="498"/>
      </c>
      <c r="AD385" s="92">
        <f t="shared" si="498"/>
      </c>
      <c r="AE385" s="92">
        <f t="shared" si="498"/>
      </c>
      <c r="AF385" s="92">
        <f t="shared" si="498"/>
      </c>
      <c r="AG385" s="92">
        <f t="shared" si="498"/>
      </c>
      <c r="AH385" s="92">
        <f t="shared" si="498"/>
      </c>
    </row>
    <row r="386" spans="3:34" ht="15" thickBot="1" x14ac:dyDescent="0.35">
      <c r="C386" s="2" t="s">
        <v>238</v>
      </c>
      <c r="J386" s="219">
        <f t="shared" ref="J386:T386" si="499">J378+J380-J384</f>
      </c>
      <c r="K386" s="219">
        <f t="shared" si="499"/>
      </c>
      <c r="L386" s="219">
        <f t="shared" si="499"/>
      </c>
      <c r="M386" s="219">
        <f t="shared" si="499"/>
      </c>
      <c r="N386" s="219">
        <f t="shared" si="499"/>
      </c>
      <c r="O386" s="219">
        <f t="shared" si="499"/>
      </c>
      <c r="P386" s="219">
        <f t="shared" si="499"/>
      </c>
      <c r="Q386" s="219">
        <f t="shared" si="499"/>
      </c>
      <c r="R386" s="219">
        <f t="shared" si="499"/>
      </c>
      <c r="S386" s="219">
        <f t="shared" si="499"/>
      </c>
      <c r="T386" s="219">
        <f t="shared" si="499"/>
      </c>
      <c r="U386" s="219">
        <f t="shared" ref="U386" si="500">U378+U380-U384</f>
      </c>
      <c r="Y386" s="93">
        <f t="shared" ref="Y386:AH386" si="501">Y378+Y380-Y384</f>
      </c>
      <c r="Z386" s="93">
        <f t="shared" si="501"/>
      </c>
      <c r="AA386" s="93">
        <f t="shared" si="501"/>
      </c>
      <c r="AB386" s="93">
        <f t="shared" si="501"/>
      </c>
      <c r="AC386" s="93">
        <f t="shared" si="501"/>
      </c>
      <c r="AD386" s="93">
        <f t="shared" si="501"/>
      </c>
      <c r="AE386" s="93">
        <f t="shared" si="501"/>
      </c>
      <c r="AF386" s="93">
        <f t="shared" si="501"/>
      </c>
      <c r="AG386" s="93">
        <f t="shared" si="501"/>
      </c>
      <c r="AH386" s="93">
        <f t="shared" si="501"/>
      </c>
    </row>
    <row r="387" spans="3:34" ht="15" thickTop="1" x14ac:dyDescent="0.3">
      <c r="D387" s="78" t="s">
        <v>244</v>
      </c>
      <c r="J387" s="92">
        <f>IFERROR(J386/J367, 0)</f>
      </c>
      <c r="K387" s="92">
        <f t="shared" ref="K387:U387" si="502">IFERROR(K386/K367, 0)</f>
      </c>
      <c r="L387" s="92">
        <f t="shared" si="502"/>
      </c>
      <c r="M387" s="92">
        <f t="shared" si="502"/>
      </c>
      <c r="N387" s="92">
        <f t="shared" si="502"/>
      </c>
      <c r="O387" s="92">
        <f t="shared" si="502"/>
      </c>
      <c r="P387" s="92">
        <f t="shared" si="502"/>
      </c>
      <c r="Q387" s="92">
        <f t="shared" si="502"/>
      </c>
      <c r="R387" s="92">
        <f t="shared" si="502"/>
      </c>
      <c r="S387" s="92">
        <f t="shared" si="502"/>
      </c>
      <c r="T387" s="92">
        <f t="shared" si="502"/>
      </c>
      <c r="U387" s="92">
        <f t="shared" si="502"/>
      </c>
      <c r="Y387" s="92">
        <f t="shared" ref="Y387:AH387" si="503">IFERROR(Y386/Y367, 0)</f>
      </c>
      <c r="Z387" s="92">
        <f t="shared" si="503"/>
      </c>
      <c r="AA387" s="92">
        <f t="shared" si="503"/>
      </c>
      <c r="AB387" s="92">
        <f t="shared" si="503"/>
      </c>
      <c r="AC387" s="92">
        <f t="shared" si="503"/>
      </c>
      <c r="AD387" s="92">
        <f t="shared" si="503"/>
      </c>
      <c r="AE387" s="92">
        <f t="shared" si="503"/>
      </c>
      <c r="AF387" s="92">
        <f t="shared" si="503"/>
      </c>
      <c r="AG387" s="92">
        <f t="shared" si="503"/>
      </c>
      <c r="AH387" s="92">
        <f t="shared" si="503"/>
      </c>
    </row>
    <row r="388" spans="3:34" ht="3" customHeight="1" thickBot="1" x14ac:dyDescent="0.35"/>
    <row r="389" spans="3:34" ht="15" thickBot="1" x14ac:dyDescent="0.35">
      <c r="C389" s="2" t="s">
        <v>239</v>
      </c>
      <c r="J389" s="220"/>
      <c r="K389" s="220"/>
      <c r="L389" s="220">
        <f>'Data Sheet'!B49</f>
      </c>
      <c r="M389" s="220">
        <f>'Data Sheet'!C49</f>
      </c>
      <c r="N389" s="220">
        <f>'Data Sheet'!D49</f>
      </c>
      <c r="O389" s="220">
        <f>'Data Sheet'!E49</f>
      </c>
      <c r="P389" s="220">
        <f>'Data Sheet'!F49</f>
      </c>
      <c r="Q389" s="220">
        <f>'Data Sheet'!G49</f>
      </c>
      <c r="R389" s="220">
        <f>'Data Sheet'!H49</f>
      </c>
      <c r="S389" s="220">
        <f>'Data Sheet'!I49</f>
      </c>
      <c r="T389" s="220">
        <f>'Data Sheet'!J49</f>
      </c>
      <c r="U389" s="220">
        <f>'Data Sheet'!K49</f>
      </c>
      <c r="Y389" s="93">
        <f t="shared" ref="Y389:AH389" si="504">Y386</f>
      </c>
      <c r="Z389" s="93">
        <f t="shared" si="504"/>
      </c>
      <c r="AA389" s="93">
        <f t="shared" si="504"/>
      </c>
      <c r="AB389" s="93">
        <f t="shared" si="504"/>
      </c>
      <c r="AC389" s="93">
        <f t="shared" si="504"/>
      </c>
      <c r="AD389" s="93">
        <f t="shared" si="504"/>
      </c>
      <c r="AE389" s="93">
        <f t="shared" si="504"/>
      </c>
      <c r="AF389" s="93">
        <f t="shared" si="504"/>
      </c>
      <c r="AG389" s="93">
        <f t="shared" si="504"/>
      </c>
      <c r="AH389" s="93">
        <f t="shared" si="504"/>
      </c>
    </row>
    <row r="390" spans="3:34" ht="15" thickTop="1" x14ac:dyDescent="0.3"/>
    <row r="391" spans="3:34" x14ac:dyDescent="0.3">
      <c r="C391" s="2" t="s">
        <v>240</v>
      </c>
      <c r="H391" s="77" t="str">
        <f>H349</f>
      </c>
      <c r="J391" s="56"/>
      <c r="K391" s="56"/>
      <c r="L391" s="56">
        <f>IFERROR(HLOOKUP(LEFT(L361, 4), $L$319:$U$349, ROWS($U$319:$U$349), FALSE), $U349)</f>
      </c>
      <c r="M391" s="56">
        <f t="shared" ref="M391:U391" si="505">IFERROR(HLOOKUP(LEFT(M361, 4), $L$319:$U$349, ROWS($U$319:$U$349), FALSE), $U349)</f>
      </c>
      <c r="N391" s="56">
        <f t="shared" si="505"/>
      </c>
      <c r="O391" s="56">
        <f t="shared" si="505"/>
      </c>
      <c r="P391" s="56">
        <f t="shared" si="505"/>
      </c>
      <c r="Q391" s="56">
        <f t="shared" si="505"/>
      </c>
      <c r="R391" s="56">
        <f t="shared" si="505"/>
      </c>
      <c r="S391" s="56">
        <f t="shared" si="505"/>
      </c>
      <c r="T391" s="56">
        <f t="shared" si="505"/>
      </c>
      <c r="U391" s="56">
        <f t="shared" si="505"/>
      </c>
      <c r="Y391" s="40">
        <f>$U391</f>
      </c>
      <c r="Z391" s="40">
        <f t="shared" ref="Z391:AH391" si="506">$U391</f>
      </c>
      <c r="AA391" s="40">
        <f t="shared" si="506"/>
      </c>
      <c r="AB391" s="40">
        <f t="shared" si="506"/>
      </c>
      <c r="AC391" s="40">
        <f t="shared" si="506"/>
      </c>
      <c r="AD391" s="40">
        <f t="shared" si="506"/>
      </c>
      <c r="AE391" s="40">
        <f t="shared" si="506"/>
      </c>
      <c r="AF391" s="40">
        <f t="shared" si="506"/>
      </c>
      <c r="AG391" s="40">
        <f t="shared" si="506"/>
      </c>
      <c r="AH391" s="40">
        <f t="shared" si="506"/>
      </c>
    </row>
    <row r="392" spans="3:34" x14ac:dyDescent="0.3">
      <c r="C392" s="2" t="s">
        <v>368</v>
      </c>
      <c r="H392" s="77" t="str">
        <f>H350</f>
      </c>
      <c r="J392" s="56">
        <f t="shared" ref="J392:T392" si="507">IFERROR(J389/J391, 0)</f>
      </c>
      <c r="K392" s="56">
        <f t="shared" si="507"/>
      </c>
      <c r="L392" s="56">
        <f t="shared" si="507"/>
      </c>
      <c r="M392" s="56">
        <f t="shared" si="507"/>
      </c>
      <c r="N392" s="56">
        <f t="shared" si="507"/>
      </c>
      <c r="O392" s="56">
        <f t="shared" si="507"/>
      </c>
      <c r="P392" s="56">
        <f t="shared" si="507"/>
      </c>
      <c r="Q392" s="56">
        <f t="shared" si="507"/>
      </c>
      <c r="R392" s="56">
        <f t="shared" si="507"/>
      </c>
      <c r="S392" s="56">
        <f t="shared" si="507"/>
      </c>
      <c r="T392" s="56">
        <f t="shared" si="507"/>
      </c>
      <c r="U392" s="56">
        <f>IFERROR(U389/U391, 0)</f>
      </c>
      <c r="Y392" s="40">
        <f t="shared" ref="Y392:AH392" si="508">IFERROR(Y389/Y391, 0)</f>
      </c>
      <c r="Z392" s="40">
        <f t="shared" si="508"/>
      </c>
      <c r="AA392" s="40">
        <f t="shared" si="508"/>
      </c>
      <c r="AB392" s="40">
        <f t="shared" si="508"/>
      </c>
      <c r="AC392" s="40">
        <f t="shared" si="508"/>
      </c>
      <c r="AD392" s="40">
        <f t="shared" si="508"/>
      </c>
      <c r="AE392" s="40">
        <f t="shared" si="508"/>
      </c>
      <c r="AF392" s="40">
        <f t="shared" si="508"/>
      </c>
      <c r="AG392" s="40">
        <f t="shared" si="508"/>
      </c>
      <c r="AH392" s="40">
        <f t="shared" si="508"/>
      </c>
    </row>
    <row r="393" spans="3:34" x14ac:dyDescent="0.3">
      <c r="C393" s="2" t="s">
        <v>243</v>
      </c>
      <c r="H393" s="77" t="str">
        <f>H351</f>
      </c>
      <c r="J393" s="39"/>
      <c r="K393" s="39"/>
      <c r="L393" s="39"/>
      <c r="M393" s="40">
        <f t="shared" ref="M393:T393" si="509">IFERROR(IF(J392&lt;&gt;"", SUM(J392:M392), 0), 0)</f>
      </c>
      <c r="N393" s="40">
        <f t="shared" si="509"/>
      </c>
      <c r="O393" s="40">
        <f t="shared" si="509"/>
      </c>
      <c r="P393" s="40">
        <f t="shared" si="509"/>
      </c>
      <c r="Q393" s="40">
        <f t="shared" si="509"/>
      </c>
      <c r="R393" s="40">
        <f t="shared" si="509"/>
      </c>
      <c r="S393" s="40">
        <f t="shared" si="509"/>
      </c>
      <c r="T393" s="40">
        <f t="shared" si="509"/>
      </c>
      <c r="U393" s="40">
        <f>IFERROR(IF(R392&lt;&gt;"", SUM(R392:U392), 0), 0)</f>
      </c>
      <c r="Y393" s="40">
        <f>IFERROR(IF(S392&lt;&gt;"", SUM(S392:Y392), 0), 0)</f>
      </c>
      <c r="Z393" s="40">
        <f>IFERROR(IF(T392&lt;&gt;"", SUM(T392:Z392), 0), 0)</f>
      </c>
      <c r="AA393" s="40">
        <f>IFERROR(IF(U392&lt;&gt;"", SUM(U392:AA392), 0), 0)</f>
      </c>
      <c r="AB393" s="40">
        <f t="shared" ref="AB393:AH393" si="510">IFERROR(IF(Y392&lt;&gt;"", SUM(Y392:AB392), 0), 0)</f>
      </c>
      <c r="AC393" s="40">
        <f t="shared" si="510"/>
      </c>
      <c r="AD393" s="40">
        <f t="shared" si="510"/>
      </c>
      <c r="AE393" s="40">
        <f t="shared" si="510"/>
      </c>
      <c r="AF393" s="40">
        <f t="shared" si="510"/>
      </c>
      <c r="AG393" s="40">
        <f t="shared" si="510"/>
      </c>
      <c r="AH393" s="40">
        <f t="shared" si="510"/>
      </c>
    </row>
    <row r="394" spans="3:34" x14ac:dyDescent="0.3">
      <c r="C394" s="2" t="s">
        <v>116</v>
      </c>
      <c r="H394" s="77" t="str">
        <f>H351</f>
      </c>
      <c r="J394" s="56"/>
      <c r="K394" s="56"/>
      <c r="L394" s="56">
        <f t="shared" ref="L394:T394" si="511">IFERROR(HLOOKUP(LEFT(L361, 4), $L$319:$U$351, ROWS($U$319:$U$351), FALSE), $U351)</f>
      </c>
      <c r="M394" s="56">
        <f t="shared" si="511"/>
      </c>
      <c r="N394" s="56">
        <f t="shared" si="511"/>
      </c>
      <c r="O394" s="56">
        <f t="shared" si="511"/>
      </c>
      <c r="P394" s="56">
        <f t="shared" si="511"/>
      </c>
      <c r="Q394" s="56">
        <f t="shared" si="511"/>
      </c>
      <c r="R394" s="56">
        <f t="shared" si="511"/>
      </c>
      <c r="S394" s="56">
        <f t="shared" si="511"/>
      </c>
      <c r="T394" s="56">
        <f t="shared" si="511"/>
      </c>
      <c r="U394" s="56">
        <f>IFERROR(HLOOKUP(LEFT(U361, 4), $L$319:$U$351, ROWS($U$319:$U$351), FALSE), $U351)</f>
      </c>
      <c r="Y394" s="40">
        <f>Y393*$U$396</f>
      </c>
      <c r="Z394" s="40">
        <f t="shared" ref="Z394:AH394" si="512">Z393*$U$396</f>
      </c>
      <c r="AA394" s="40">
        <f t="shared" si="512"/>
      </c>
      <c r="AB394" s="40">
        <f t="shared" si="512"/>
      </c>
      <c r="AC394" s="40">
        <f t="shared" si="512"/>
      </c>
      <c r="AD394" s="40">
        <f t="shared" si="512"/>
      </c>
      <c r="AE394" s="40">
        <f t="shared" si="512"/>
      </c>
      <c r="AF394" s="40">
        <f t="shared" si="512"/>
      </c>
      <c r="AG394" s="40">
        <f t="shared" si="512"/>
      </c>
      <c r="AH394" s="40">
        <f t="shared" si="512"/>
      </c>
    </row>
    <row r="395" spans="3:34" x14ac:dyDescent="0.3">
      <c r="C395" s="2" t="s">
        <v>241</v>
      </c>
      <c r="H395" s="77" t="str">
        <f>H352</f>
      </c>
      <c r="J395" s="71">
        <f t="shared" ref="J395:T395" si="513">IFERROR(J394*J391, 0)</f>
      </c>
      <c r="K395" s="71">
        <f t="shared" si="513"/>
      </c>
      <c r="L395" s="71">
        <f t="shared" si="513"/>
      </c>
      <c r="M395" s="71">
        <f t="shared" si="513"/>
      </c>
      <c r="N395" s="71">
        <f t="shared" si="513"/>
      </c>
      <c r="O395" s="71">
        <f t="shared" si="513"/>
      </c>
      <c r="P395" s="71">
        <f t="shared" si="513"/>
      </c>
      <c r="Q395" s="71">
        <f t="shared" si="513"/>
      </c>
      <c r="R395" s="71">
        <f t="shared" si="513"/>
      </c>
      <c r="S395" s="71">
        <f t="shared" si="513"/>
      </c>
      <c r="T395" s="71">
        <f t="shared" si="513"/>
      </c>
      <c r="U395" s="71">
        <f>IFERROR(U394*U391, 0)</f>
      </c>
      <c r="Y395" s="71">
        <f t="shared" ref="Y395:AH395" si="514">IFERROR(Y394*Y391, 0)</f>
      </c>
      <c r="Z395" s="71">
        <f t="shared" si="514"/>
      </c>
      <c r="AA395" s="71">
        <f t="shared" si="514"/>
      </c>
      <c r="AB395" s="71">
        <f t="shared" si="514"/>
      </c>
      <c r="AC395" s="71">
        <f t="shared" si="514"/>
      </c>
      <c r="AD395" s="71">
        <f t="shared" si="514"/>
      </c>
      <c r="AE395" s="71">
        <f t="shared" si="514"/>
      </c>
      <c r="AF395" s="71">
        <f t="shared" si="514"/>
      </c>
      <c r="AG395" s="71">
        <f t="shared" si="514"/>
      </c>
      <c r="AH395" s="71">
        <f t="shared" si="514"/>
      </c>
    </row>
    <row r="396" spans="3:34" x14ac:dyDescent="0.3">
      <c r="C396" s="2" t="s">
        <v>242</v>
      </c>
      <c r="J396" s="71"/>
      <c r="K396" s="71"/>
      <c r="L396" s="71"/>
      <c r="M396" s="71">
        <f t="shared" ref="M396:T396" si="515">M394/M393</f>
      </c>
      <c r="N396" s="71">
        <f t="shared" si="515"/>
      </c>
      <c r="O396" s="71">
        <f t="shared" si="515"/>
      </c>
      <c r="P396" s="71">
        <f t="shared" si="515"/>
      </c>
      <c r="Q396" s="71">
        <f t="shared" si="515"/>
      </c>
      <c r="R396" s="71">
        <f t="shared" si="515"/>
      </c>
      <c r="S396" s="71">
        <f t="shared" si="515"/>
      </c>
      <c r="T396" s="71">
        <f t="shared" si="515"/>
      </c>
      <c r="U396" s="71">
        <f>U394/U393</f>
      </c>
      <c r="Y396" s="71">
        <f>Y394/Y393</f>
      </c>
      <c r="Z396" s="71">
        <f t="shared" ref="Z396:AH396" si="516">Z394/Z393</f>
      </c>
      <c r="AA396" s="71">
        <f t="shared" si="516"/>
      </c>
      <c r="AB396" s="71">
        <f t="shared" si="516"/>
      </c>
      <c r="AC396" s="71">
        <f t="shared" si="516"/>
      </c>
      <c r="AD396" s="71">
        <f t="shared" si="516"/>
      </c>
      <c r="AE396" s="71">
        <f t="shared" si="516"/>
      </c>
      <c r="AF396" s="71">
        <f t="shared" si="516"/>
      </c>
      <c r="AG396" s="71">
        <f t="shared" si="516"/>
      </c>
      <c r="AH396" s="71">
        <f t="shared" si="516"/>
      </c>
    </row>
    <row r="397" spans="3:34" x14ac:dyDescent="0.3">
      <c r="C397" s="2" t="s">
        <v>112</v>
      </c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</row>
    <row r="401" spans="2:22" ht="18" x14ac:dyDescent="0.35">
      <c r="B401" s="148" t="str">
        <f>'Assumptions&amp;Scenario'!$K$10</f>
      </c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</row>
    <row r="402" spans="2:22" ht="18" thickBot="1" x14ac:dyDescent="0.35">
      <c r="B402" s="47" t="s">
        <v>245</v>
      </c>
      <c r="C402" s="48"/>
      <c r="D402" s="48"/>
      <c r="E402" s="48"/>
      <c r="F402" s="48"/>
      <c r="G402" s="48"/>
      <c r="H402" s="49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</row>
    <row r="403" spans="2:22" x14ac:dyDescent="0.3">
      <c r="C403" s="2"/>
      <c r="D403" s="2"/>
      <c r="E403" s="2"/>
      <c r="F403" s="2"/>
      <c r="L403" s="83"/>
      <c r="M403" s="83"/>
      <c r="N403" s="83"/>
      <c r="O403" s="83"/>
      <c r="P403" s="83"/>
      <c r="Q403" s="83"/>
      <c r="R403" s="83"/>
      <c r="S403" s="83"/>
      <c r="T403" s="83"/>
      <c r="U403" s="83"/>
    </row>
    <row r="404" spans="2:22" ht="15.6" x14ac:dyDescent="0.3">
      <c r="C404" s="43" t="s">
        <v>389</v>
      </c>
      <c r="D404" s="43"/>
      <c r="E404" s="43"/>
      <c r="F404" s="43"/>
      <c r="G404" s="43"/>
      <c r="H404" s="44"/>
      <c r="I404" s="44"/>
      <c r="J404" s="44" t="str">
        <f>"FY"&amp;TEXT(RIGHT(K404,2)-(COLUMN(K404)-COLUMN()),"00")</f>
      </c>
      <c r="K404" s="44" t="str">
        <f t="shared" ref="K404" si="517">"FY"&amp;TEXT(RIGHT(L404,2)-(COLUMN(L404)-COLUMN()),"00")</f>
      </c>
      <c r="L404" s="79" t="str">
        <f t="shared" ref="L404" si="518">"FY"&amp;TEXT(RIGHT(M404,2)-(COLUMN(M404)-COLUMN()),"00")</f>
      </c>
      <c r="M404" s="79" t="str">
        <f t="shared" ref="M404" si="519">"FY"&amp;TEXT(RIGHT(N404,2)-(COLUMN(N404)-COLUMN()),"00")</f>
      </c>
      <c r="N404" s="79" t="str">
        <f t="shared" ref="N404" si="520">"FY"&amp;TEXT(RIGHT(O404,2)-(COLUMN(O404)-COLUMN()),"00")</f>
      </c>
      <c r="O404" s="79" t="str">
        <f t="shared" ref="O404" si="521">"FY"&amp;TEXT(RIGHT(P404,2)-(COLUMN(P404)-COLUMN()),"00")</f>
      </c>
      <c r="P404" s="79" t="str">
        <f t="shared" ref="P404" si="522">"FY"&amp;TEXT(RIGHT(Q404,2)-(COLUMN(Q404)-COLUMN()),"00")</f>
      </c>
      <c r="Q404" s="79" t="str">
        <f t="shared" ref="Q404" si="523">"FY"&amp;TEXT(RIGHT(R404,2)-(COLUMN(R404)-COLUMN()),"00")</f>
      </c>
      <c r="R404" s="79" t="str">
        <f t="shared" ref="R404" si="524">"FY"&amp;TEXT(RIGHT(S404,2)-(COLUMN(S404)-COLUMN()),"00")</f>
      </c>
      <c r="S404" s="79" t="str">
        <f t="shared" ref="S404" si="525">"FY"&amp;TEXT(RIGHT(T404,2)-(COLUMN(T404)-COLUMN()),"00")</f>
      </c>
      <c r="T404" s="79" t="str">
        <f t="shared" ref="T404" si="526">"FY"&amp;TEXT(RIGHT(U404,2)-(COLUMN(U404)-COLUMN()),"00")</f>
      </c>
      <c r="U404" s="79" t="str">
        <f>"FY"&amp;TEXT(DATE(YEAR('Data Sheet'!$K$16)+(MONTH('Data Sheet'!$K$16)&gt;3),1,1),"YY")</f>
      </c>
    </row>
    <row r="405" spans="2:22" ht="3" customHeight="1" x14ac:dyDescent="0.3"/>
    <row r="406" spans="2:22" ht="3" customHeight="1" x14ac:dyDescent="0.3"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2:22" ht="3" customHeight="1" x14ac:dyDescent="0.3"/>
    <row r="408" spans="2:22" ht="15" thickBot="1" x14ac:dyDescent="0.35">
      <c r="C408" s="2" t="s">
        <v>246</v>
      </c>
      <c r="H408" s="77" t="str">
        <f>$H$10</f>
      </c>
    </row>
    <row r="409" spans="2:22" x14ac:dyDescent="0.3">
      <c r="D409" t="s">
        <v>238</v>
      </c>
      <c r="J409" s="95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7"/>
    </row>
    <row r="410" spans="2:22" x14ac:dyDescent="0.3">
      <c r="D410" t="s">
        <v>247</v>
      </c>
      <c r="J410" s="98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99"/>
    </row>
    <row r="411" spans="2:22" x14ac:dyDescent="0.3">
      <c r="D411" t="s">
        <v>248</v>
      </c>
      <c r="J411" s="98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99"/>
    </row>
    <row r="412" spans="2:22" x14ac:dyDescent="0.3">
      <c r="D412" t="s">
        <v>249</v>
      </c>
      <c r="J412" s="98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99"/>
    </row>
    <row r="413" spans="2:22" x14ac:dyDescent="0.3">
      <c r="D413" t="s">
        <v>250</v>
      </c>
      <c r="J413" s="98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99"/>
    </row>
    <row r="414" spans="2:22" x14ac:dyDescent="0.3">
      <c r="D414" t="s">
        <v>251</v>
      </c>
      <c r="J414" s="98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99"/>
    </row>
    <row r="415" spans="2:22" x14ac:dyDescent="0.3">
      <c r="D415" t="s">
        <v>252</v>
      </c>
      <c r="J415" s="98"/>
      <c r="K415" s="56"/>
      <c r="L415" s="56">
        <f>IFERROR('Data Sheet'!B82, 0)</f>
      </c>
      <c r="M415" s="56">
        <f>IFERROR('Data Sheet'!C82, 0)</f>
      </c>
      <c r="N415" s="56">
        <f>IFERROR('Data Sheet'!D82, 0)</f>
      </c>
      <c r="O415" s="56">
        <f>IFERROR('Data Sheet'!E82, 0)</f>
      </c>
      <c r="P415" s="56">
        <f>IFERROR('Data Sheet'!F82, 0)</f>
      </c>
      <c r="Q415" s="56">
        <f>IFERROR('Data Sheet'!G82, 0)</f>
      </c>
      <c r="R415" s="56">
        <f>IFERROR('Data Sheet'!H82, 0)</f>
      </c>
      <c r="S415" s="56">
        <f>IFERROR('Data Sheet'!I82, 0)</f>
      </c>
      <c r="T415" s="56">
        <f>IFERROR('Data Sheet'!J82, 0)</f>
      </c>
      <c r="U415" s="99">
        <f>IFERROR('Data Sheet'!K82, 0)</f>
      </c>
    </row>
    <row r="416" spans="2:22" ht="15" thickBot="1" x14ac:dyDescent="0.35">
      <c r="D416" t="s">
        <v>253</v>
      </c>
      <c r="J416" s="100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2"/>
    </row>
    <row r="417" spans="3:34" x14ac:dyDescent="0.3">
      <c r="D417" s="2" t="s">
        <v>254</v>
      </c>
      <c r="J417" s="94">
        <f t="shared" ref="J417:T417" si="527">SUM(J409:J416)</f>
      </c>
      <c r="K417" s="94">
        <f t="shared" si="527"/>
      </c>
      <c r="L417" s="94">
        <f t="shared" si="527"/>
      </c>
      <c r="M417" s="94">
        <f t="shared" si="527"/>
      </c>
      <c r="N417" s="94">
        <f t="shared" si="527"/>
      </c>
      <c r="O417" s="94">
        <f t="shared" si="527"/>
      </c>
      <c r="P417" s="94">
        <f t="shared" si="527"/>
      </c>
      <c r="Q417" s="94">
        <f t="shared" si="527"/>
      </c>
      <c r="R417" s="94">
        <f t="shared" si="527"/>
      </c>
      <c r="S417" s="94">
        <f t="shared" si="527"/>
      </c>
      <c r="T417" s="94">
        <f t="shared" si="527"/>
      </c>
      <c r="U417" s="94">
        <f>SUM(U409:U416)</f>
      </c>
    </row>
    <row r="418" spans="3:34" x14ac:dyDescent="0.3"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</row>
    <row r="419" spans="3:34" x14ac:dyDescent="0.3"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</row>
    <row r="420" spans="3:34" ht="15" thickBot="1" x14ac:dyDescent="0.35">
      <c r="C420" s="2" t="s">
        <v>255</v>
      </c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</row>
    <row r="421" spans="3:34" x14ac:dyDescent="0.3">
      <c r="D421" t="s">
        <v>256</v>
      </c>
      <c r="J421" s="95"/>
      <c r="K421" s="96"/>
      <c r="L421" s="96">
        <f>IFERROR('Data Sheet'!B83, 0)</f>
      </c>
      <c r="M421" s="96">
        <f>IFERROR('Data Sheet'!C83, 0)</f>
      </c>
      <c r="N421" s="96">
        <f>IFERROR('Data Sheet'!D83, 0)</f>
      </c>
      <c r="O421" s="96">
        <f>IFERROR('Data Sheet'!E83, 0)</f>
      </c>
      <c r="P421" s="96">
        <f>IFERROR('Data Sheet'!F83, 0)</f>
      </c>
      <c r="Q421" s="96">
        <f>IFERROR('Data Sheet'!G83, 0)</f>
      </c>
      <c r="R421" s="96">
        <f>IFERROR('Data Sheet'!H83, 0)</f>
      </c>
      <c r="S421" s="96">
        <f>IFERROR('Data Sheet'!I83, 0)</f>
      </c>
      <c r="T421" s="96">
        <f>IFERROR('Data Sheet'!J83, 0)</f>
      </c>
      <c r="U421" s="97">
        <f>IFERROR('Data Sheet'!K83, 0)</f>
      </c>
      <c r="Y421" s="71" cm="1">
        <f t="array" ref="Y421">IFERROR(_xlfn.FORECAST.LINEAR(RIGHT(Y$6,2), $J421:$U421, VALUE(RIGHT($J$6:$U$6,2))), 0)</f>
      </c>
      <c r="Z421" s="71" cm="1">
        <f t="array" ref="Z421">IFERROR(_xlfn.FORECAST.LINEAR(RIGHT(Z$6,2), $J421:$U421, VALUE(RIGHT($J$6:$U$6,2))), 0)</f>
      </c>
      <c r="AA421" s="71" cm="1">
        <f t="array" ref="AA421">IFERROR(_xlfn.FORECAST.LINEAR(RIGHT(AA$6,2), $J421:$U421, VALUE(RIGHT($J$6:$U$6,2))), 0)</f>
      </c>
      <c r="AB421" s="71" cm="1">
        <f t="array" ref="AB421">IFERROR(_xlfn.FORECAST.LINEAR(RIGHT(AB$6,2), $J421:$U421, VALUE(RIGHT($J$6:$U$6,2))), 0)</f>
      </c>
      <c r="AC421" s="71" cm="1">
        <f t="array" ref="AC421">IFERROR(_xlfn.FORECAST.LINEAR(RIGHT(AC$6,2), $J421:$U421, VALUE(RIGHT($J$6:$U$6,2))), 0)</f>
      </c>
      <c r="AD421" s="71" cm="1">
        <f t="array" ref="AD421">IFERROR(_xlfn.FORECAST.LINEAR(RIGHT(AD$6,2), $J421:$U421, VALUE(RIGHT($J$6:$U$6,2))), 0)</f>
      </c>
      <c r="AE421" s="71" cm="1">
        <f t="array" ref="AE421">IFERROR(_xlfn.FORECAST.LINEAR(RIGHT(AE$6,2), $J421:$U421, VALUE(RIGHT($J$6:$U$6,2))), 0)</f>
      </c>
      <c r="AF421" s="71" cm="1">
        <f t="array" ref="AF421">IFERROR(_xlfn.FORECAST.LINEAR(RIGHT(AF$6,2), $J421:$U421, VALUE(RIGHT($J$6:$U$6,2))), 0)</f>
      </c>
      <c r="AG421" s="71" cm="1">
        <f t="array" ref="AG421">IFERROR(_xlfn.FORECAST.LINEAR(RIGHT(AG$6,2), $J421:$U421, VALUE(RIGHT($J$6:$U$6,2))), 0)</f>
      </c>
      <c r="AH421" s="71" cm="1">
        <f t="array" ref="AH421">IFERROR(_xlfn.FORECAST.LINEAR(RIGHT(AH$6,2), $J421:$U421, VALUE(RIGHT($J$6:$U$6,2))), 0)</f>
      </c>
    </row>
    <row r="422" spans="3:34" x14ac:dyDescent="0.3">
      <c r="D422" t="s">
        <v>250</v>
      </c>
      <c r="J422" s="98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99"/>
      <c r="Y422" s="71" cm="1">
        <f t="array" ref="Y422">IFERROR(_xlfn.FORECAST.LINEAR(RIGHT(Y$6,2), $J422:$U422, VALUE(RIGHT($J$6:$U$6,2))), 0)</f>
      </c>
      <c r="Z422" s="71" cm="1">
        <f t="array" ref="Z422">IFERROR(_xlfn.FORECAST.LINEAR(RIGHT(Z$6,2), $J422:$U422, VALUE(RIGHT($J$6:$U$6,2))), 0)</f>
      </c>
      <c r="AA422" s="71" cm="1">
        <f t="array" ref="AA422">IFERROR(_xlfn.FORECAST.LINEAR(RIGHT(AA$6,2), $J422:$U422, VALUE(RIGHT($J$6:$U$6,2))), 0)</f>
      </c>
      <c r="AB422" s="71" cm="1">
        <f t="array" ref="AB422">IFERROR(_xlfn.FORECAST.LINEAR(RIGHT(AB$6,2), $J422:$U422, VALUE(RIGHT($J$6:$U$6,2))), 0)</f>
      </c>
      <c r="AC422" s="71" cm="1">
        <f t="array" ref="AC422">IFERROR(_xlfn.FORECAST.LINEAR(RIGHT(AC$6,2), $J422:$U422, VALUE(RIGHT($J$6:$U$6,2))), 0)</f>
      </c>
      <c r="AD422" s="71" cm="1">
        <f t="array" ref="AD422">IFERROR(_xlfn.FORECAST.LINEAR(RIGHT(AD$6,2), $J422:$U422, VALUE(RIGHT($J$6:$U$6,2))), 0)</f>
      </c>
      <c r="AE422" s="71" cm="1">
        <f t="array" ref="AE422">IFERROR(_xlfn.FORECAST.LINEAR(RIGHT(AE$6,2), $J422:$U422, VALUE(RIGHT($J$6:$U$6,2))), 0)</f>
      </c>
      <c r="AF422" s="71" cm="1">
        <f t="array" ref="AF422">IFERROR(_xlfn.FORECAST.LINEAR(RIGHT(AF$6,2), $J422:$U422, VALUE(RIGHT($J$6:$U$6,2))), 0)</f>
      </c>
      <c r="AG422" s="71" cm="1">
        <f t="array" ref="AG422">IFERROR(_xlfn.FORECAST.LINEAR(RIGHT(AG$6,2), $J422:$U422, VALUE(RIGHT($J$6:$U$6,2))), 0)</f>
      </c>
      <c r="AH422" s="71" cm="1">
        <f t="array" ref="AH422">IFERROR(_xlfn.FORECAST.LINEAR(RIGHT(AH$6,2), $J422:$U422, VALUE(RIGHT($J$6:$U$6,2))), 0)</f>
      </c>
    </row>
    <row r="423" spans="3:34" x14ac:dyDescent="0.3">
      <c r="D423" t="s">
        <v>257</v>
      </c>
      <c r="J423" s="98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99"/>
      <c r="Y423" s="71" cm="1">
        <f t="array" ref="Y423">IFERROR(_xlfn.FORECAST.LINEAR(RIGHT(Y$6,2), $J423:$U423, VALUE(RIGHT($J$6:$U$6,2))), 0)</f>
      </c>
      <c r="Z423" s="71" cm="1">
        <f t="array" ref="Z423">IFERROR(_xlfn.FORECAST.LINEAR(RIGHT(Z$6,2), $J423:$U423, VALUE(RIGHT($J$6:$U$6,2))), 0)</f>
      </c>
      <c r="AA423" s="71" cm="1">
        <f t="array" ref="AA423">IFERROR(_xlfn.FORECAST.LINEAR(RIGHT(AA$6,2), $J423:$U423, VALUE(RIGHT($J$6:$U$6,2))), 0)</f>
      </c>
      <c r="AB423" s="71" cm="1">
        <f t="array" ref="AB423">IFERROR(_xlfn.FORECAST.LINEAR(RIGHT(AB$6,2), $J423:$U423, VALUE(RIGHT($J$6:$U$6,2))), 0)</f>
      </c>
      <c r="AC423" s="71" cm="1">
        <f t="array" ref="AC423">IFERROR(_xlfn.FORECAST.LINEAR(RIGHT(AC$6,2), $J423:$U423, VALUE(RIGHT($J$6:$U$6,2))), 0)</f>
      </c>
      <c r="AD423" s="71" cm="1">
        <f t="array" ref="AD423">IFERROR(_xlfn.FORECAST.LINEAR(RIGHT(AD$6,2), $J423:$U423, VALUE(RIGHT($J$6:$U$6,2))), 0)</f>
      </c>
      <c r="AE423" s="71" cm="1">
        <f t="array" ref="AE423">IFERROR(_xlfn.FORECAST.LINEAR(RIGHT(AE$6,2), $J423:$U423, VALUE(RIGHT($J$6:$U$6,2))), 0)</f>
      </c>
      <c r="AF423" s="71" cm="1">
        <f t="array" ref="AF423">IFERROR(_xlfn.FORECAST.LINEAR(RIGHT(AF$6,2), $J423:$U423, VALUE(RIGHT($J$6:$U$6,2))), 0)</f>
      </c>
      <c r="AG423" s="71" cm="1">
        <f t="array" ref="AG423">IFERROR(_xlfn.FORECAST.LINEAR(RIGHT(AG$6,2), $J423:$U423, VALUE(RIGHT($J$6:$U$6,2))), 0)</f>
      </c>
      <c r="AH423" s="71" cm="1">
        <f t="array" ref="AH423">IFERROR(_xlfn.FORECAST.LINEAR(RIGHT(AH$6,2), $J423:$U423, VALUE(RIGHT($J$6:$U$6,2))), 0)</f>
      </c>
    </row>
    <row r="424" spans="3:34" ht="15" thickBot="1" x14ac:dyDescent="0.35">
      <c r="D424" t="s">
        <v>111</v>
      </c>
      <c r="J424" s="100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2"/>
      <c r="Y424" s="71" cm="1">
        <f t="array" ref="Y424">IFERROR(_xlfn.FORECAST.LINEAR(RIGHT(Y$6,2), $J424:$U424, VALUE(RIGHT($J$6:$U$6,2))), 0)</f>
      </c>
      <c r="Z424" s="71" cm="1">
        <f t="array" ref="Z424">IFERROR(_xlfn.FORECAST.LINEAR(RIGHT(Z$6,2), $J424:$U424, VALUE(RIGHT($J$6:$U$6,2))), 0)</f>
      </c>
      <c r="AA424" s="71" cm="1">
        <f t="array" ref="AA424">IFERROR(_xlfn.FORECAST.LINEAR(RIGHT(AA$6,2), $J424:$U424, VALUE(RIGHT($J$6:$U$6,2))), 0)</f>
      </c>
      <c r="AB424" s="71" cm="1">
        <f t="array" ref="AB424">IFERROR(_xlfn.FORECAST.LINEAR(RIGHT(AB$6,2), $J424:$U424, VALUE(RIGHT($J$6:$U$6,2))), 0)</f>
      </c>
      <c r="AC424" s="71" cm="1">
        <f t="array" ref="AC424">IFERROR(_xlfn.FORECAST.LINEAR(RIGHT(AC$6,2), $J424:$U424, VALUE(RIGHT($J$6:$U$6,2))), 0)</f>
      </c>
      <c r="AD424" s="71" cm="1">
        <f t="array" ref="AD424">IFERROR(_xlfn.FORECAST.LINEAR(RIGHT(AD$6,2), $J424:$U424, VALUE(RIGHT($J$6:$U$6,2))), 0)</f>
      </c>
      <c r="AE424" s="71" cm="1">
        <f t="array" ref="AE424">IFERROR(_xlfn.FORECAST.LINEAR(RIGHT(AE$6,2), $J424:$U424, VALUE(RIGHT($J$6:$U$6,2))), 0)</f>
      </c>
      <c r="AF424" s="71" cm="1">
        <f t="array" ref="AF424">IFERROR(_xlfn.FORECAST.LINEAR(RIGHT(AF$6,2), $J424:$U424, VALUE(RIGHT($J$6:$U$6,2))), 0)</f>
      </c>
      <c r="AG424" s="71" cm="1">
        <f t="array" ref="AG424">IFERROR(_xlfn.FORECAST.LINEAR(RIGHT(AG$6,2), $J424:$U424, VALUE(RIGHT($J$6:$U$6,2))), 0)</f>
      </c>
      <c r="AH424" s="71" cm="1">
        <f t="array" ref="AH424">IFERROR(_xlfn.FORECAST.LINEAR(RIGHT(AH$6,2), $J424:$U424, VALUE(RIGHT($J$6:$U$6,2))), 0)</f>
      </c>
    </row>
    <row r="425" spans="3:34" x14ac:dyDescent="0.3">
      <c r="D425" s="2" t="s">
        <v>258</v>
      </c>
      <c r="J425" s="90">
        <f t="shared" ref="J425:T425" si="528">SUM(J421:J424)</f>
      </c>
      <c r="K425" s="90">
        <f t="shared" si="528"/>
      </c>
      <c r="L425" s="90">
        <f t="shared" si="528"/>
      </c>
      <c r="M425" s="90">
        <f t="shared" si="528"/>
      </c>
      <c r="N425" s="90">
        <f t="shared" si="528"/>
      </c>
      <c r="O425" s="90">
        <f t="shared" si="528"/>
      </c>
      <c r="P425" s="90">
        <f t="shared" si="528"/>
      </c>
      <c r="Q425" s="90">
        <f t="shared" si="528"/>
      </c>
      <c r="R425" s="90">
        <f t="shared" si="528"/>
      </c>
      <c r="S425" s="90">
        <f t="shared" si="528"/>
      </c>
      <c r="T425" s="90">
        <f t="shared" si="528"/>
      </c>
      <c r="U425" s="90">
        <f>SUM(U421:U424)</f>
      </c>
    </row>
    <row r="426" spans="3:34" x14ac:dyDescent="0.3"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</row>
    <row r="427" spans="3:34" x14ac:dyDescent="0.3"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</row>
    <row r="428" spans="3:34" ht="15" thickBot="1" x14ac:dyDescent="0.35">
      <c r="C428" s="2" t="s">
        <v>259</v>
      </c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</row>
    <row r="429" spans="3:34" x14ac:dyDescent="0.3">
      <c r="D429" t="s">
        <v>260</v>
      </c>
      <c r="J429" s="95"/>
      <c r="K429" s="96"/>
      <c r="L429" s="96">
        <f>IFERROR('Data Sheet'!B84-L433, 0)</f>
      </c>
      <c r="M429" s="96">
        <f>IFERROR('Data Sheet'!C84-M433, 0)</f>
      </c>
      <c r="N429" s="96">
        <f>IFERROR('Data Sheet'!D84-N433, 0)</f>
      </c>
      <c r="O429" s="96">
        <f>IFERROR('Data Sheet'!E84-O433, 0)</f>
      </c>
      <c r="P429" s="96">
        <f>IFERROR('Data Sheet'!F84-P433, 0)</f>
      </c>
      <c r="Q429" s="96">
        <f>IFERROR('Data Sheet'!G84-Q433, 0)</f>
      </c>
      <c r="R429" s="96">
        <f>IFERROR('Data Sheet'!H84-R433, 0)</f>
      </c>
      <c r="S429" s="96">
        <f>IFERROR('Data Sheet'!I84-S433, 0)</f>
      </c>
      <c r="T429" s="96">
        <f>IFERROR('Data Sheet'!J84-T433, 0)</f>
      </c>
      <c r="U429" s="97">
        <f>IFERROR('Data Sheet'!K84-U433, 0)</f>
      </c>
    </row>
    <row r="430" spans="3:34" x14ac:dyDescent="0.3">
      <c r="D430" t="s">
        <v>261</v>
      </c>
      <c r="J430" s="98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99"/>
    </row>
    <row r="431" spans="3:34" x14ac:dyDescent="0.3">
      <c r="D431" t="s">
        <v>249</v>
      </c>
      <c r="J431" s="98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99"/>
    </row>
    <row r="432" spans="3:34" x14ac:dyDescent="0.3">
      <c r="D432" t="s">
        <v>262</v>
      </c>
      <c r="J432" s="98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99"/>
    </row>
    <row r="433" spans="2:22" ht="15" thickBot="1" x14ac:dyDescent="0.35">
      <c r="D433" t="s">
        <v>263</v>
      </c>
      <c r="J433" s="100"/>
      <c r="K433" s="101"/>
      <c r="L433" s="101">
        <f>IFERROR(-'Data Sheet'!B31, 0)</f>
      </c>
      <c r="M433" s="101">
        <f>IFERROR(-'Data Sheet'!C31, 0)</f>
      </c>
      <c r="N433" s="101">
        <f>IFERROR(-'Data Sheet'!D31, 0)</f>
      </c>
      <c r="O433" s="101">
        <f>IFERROR(-'Data Sheet'!E31, 0)</f>
      </c>
      <c r="P433" s="101">
        <f>IFERROR(-'Data Sheet'!F31, 0)</f>
      </c>
      <c r="Q433" s="101">
        <f>IFERROR(-'Data Sheet'!G31, 0)</f>
      </c>
      <c r="R433" s="101">
        <f>IFERROR(-'Data Sheet'!H31, 0)</f>
      </c>
      <c r="S433" s="101">
        <f>IFERROR(-'Data Sheet'!I31, 0)</f>
      </c>
      <c r="T433" s="101">
        <f>IFERROR(-'Data Sheet'!J31, 0)</f>
      </c>
      <c r="U433" s="102">
        <f>IFERROR(-'Data Sheet'!K31, 0)</f>
      </c>
    </row>
    <row r="434" spans="2:22" x14ac:dyDescent="0.3">
      <c r="D434" s="2" t="s">
        <v>264</v>
      </c>
      <c r="J434" s="94">
        <f t="shared" ref="J434:U434" si="529">SUM(J429:J433)</f>
      </c>
      <c r="K434" s="94">
        <f t="shared" si="529"/>
      </c>
      <c r="L434" s="94">
        <f t="shared" si="529"/>
      </c>
      <c r="M434" s="94">
        <f t="shared" si="529"/>
      </c>
      <c r="N434" s="94">
        <f t="shared" si="529"/>
      </c>
      <c r="O434" s="94">
        <f t="shared" si="529"/>
      </c>
      <c r="P434" s="94">
        <f t="shared" si="529"/>
      </c>
      <c r="Q434" s="94">
        <f t="shared" si="529"/>
      </c>
      <c r="R434" s="94">
        <f t="shared" si="529"/>
      </c>
      <c r="S434" s="94">
        <f t="shared" si="529"/>
      </c>
      <c r="T434" s="94">
        <f t="shared" si="529"/>
      </c>
      <c r="U434" s="94">
        <f t="shared" si="529"/>
      </c>
    </row>
    <row r="435" spans="2:22" x14ac:dyDescent="0.3"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</row>
    <row r="436" spans="2:22" x14ac:dyDescent="0.3"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</row>
    <row r="437" spans="2:22" ht="15" thickBot="1" x14ac:dyDescent="0.35">
      <c r="C437" s="121" t="s">
        <v>265</v>
      </c>
      <c r="D437" s="113"/>
      <c r="E437" s="113"/>
      <c r="F437" s="113"/>
      <c r="G437" s="113"/>
      <c r="H437" s="113"/>
      <c r="I437" s="113"/>
      <c r="J437" s="94">
        <f t="shared" ref="J437:U437" si="530">J417+J425+J434</f>
      </c>
      <c r="K437" s="94">
        <f t="shared" si="530"/>
      </c>
      <c r="L437" s="94">
        <f t="shared" si="530"/>
      </c>
      <c r="M437" s="94">
        <f t="shared" si="530"/>
      </c>
      <c r="N437" s="94">
        <f t="shared" si="530"/>
      </c>
      <c r="O437" s="94">
        <f t="shared" si="530"/>
      </c>
      <c r="P437" s="94">
        <f t="shared" si="530"/>
      </c>
      <c r="Q437" s="94">
        <f t="shared" si="530"/>
      </c>
      <c r="R437" s="94">
        <f t="shared" si="530"/>
      </c>
      <c r="S437" s="94">
        <f t="shared" si="530"/>
      </c>
      <c r="T437" s="94">
        <f t="shared" si="530"/>
      </c>
      <c r="U437" s="173">
        <f t="shared" si="530"/>
      </c>
    </row>
    <row r="438" spans="2:22" x14ac:dyDescent="0.3">
      <c r="C438" s="137" t="s">
        <v>266</v>
      </c>
      <c r="J438" s="95"/>
      <c r="K438" s="96"/>
      <c r="L438" s="96"/>
      <c r="M438" s="96">
        <f>IFERROR('Data Sheet'!B69, 0)</f>
      </c>
      <c r="N438" s="96">
        <f>IFERROR('Data Sheet'!C69, 0)</f>
      </c>
      <c r="O438" s="96">
        <f>IFERROR('Data Sheet'!D69, 0)</f>
      </c>
      <c r="P438" s="96">
        <f>IFERROR('Data Sheet'!E69, 0)</f>
      </c>
      <c r="Q438" s="96">
        <f>IFERROR('Data Sheet'!F69, 0)</f>
      </c>
      <c r="R438" s="96">
        <f>IFERROR('Data Sheet'!G69, 0)</f>
      </c>
      <c r="S438" s="96">
        <f>IFERROR('Data Sheet'!H69, 0)</f>
      </c>
      <c r="T438" s="96">
        <f>IFERROR('Data Sheet'!I69, 0)</f>
      </c>
      <c r="U438" s="174">
        <f>IFERROR('Data Sheet'!J69, 0)</f>
      </c>
    </row>
    <row r="439" spans="2:22" ht="15" thickBot="1" x14ac:dyDescent="0.35">
      <c r="C439" s="137" t="s">
        <v>267</v>
      </c>
      <c r="J439" s="100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75"/>
    </row>
    <row r="440" spans="2:22" x14ac:dyDescent="0.3">
      <c r="C440" s="122" t="s">
        <v>268</v>
      </c>
      <c r="D440" s="120"/>
      <c r="E440" s="120"/>
      <c r="F440" s="120"/>
      <c r="G440" s="120"/>
      <c r="H440" s="120"/>
      <c r="I440" s="120"/>
      <c r="J440" s="197">
        <f t="shared" ref="J440:T440" si="531">J453</f>
      </c>
      <c r="K440" s="197">
        <f t="shared" si="531"/>
      </c>
      <c r="L440" s="197">
        <f t="shared" si="531"/>
      </c>
      <c r="M440" s="197">
        <f t="shared" si="531"/>
      </c>
      <c r="N440" s="197">
        <f t="shared" si="531"/>
      </c>
      <c r="O440" s="197">
        <f t="shared" si="531"/>
      </c>
      <c r="P440" s="197">
        <f t="shared" si="531"/>
      </c>
      <c r="Q440" s="197">
        <f t="shared" si="531"/>
      </c>
      <c r="R440" s="197">
        <f t="shared" si="531"/>
      </c>
      <c r="S440" s="197">
        <f t="shared" si="531"/>
      </c>
      <c r="T440" s="197">
        <f t="shared" si="531"/>
      </c>
      <c r="U440" s="196">
        <f>U453</f>
      </c>
    </row>
    <row r="444" spans="2:22" ht="18" x14ac:dyDescent="0.35">
      <c r="B444" s="148" t="str">
        <f>'Assumptions&amp;Scenario'!$K$10</f>
      </c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</row>
    <row r="445" spans="2:22" ht="18" thickBot="1" x14ac:dyDescent="0.35">
      <c r="B445" s="47" t="s">
        <v>296</v>
      </c>
      <c r="C445" s="48"/>
      <c r="D445" s="48"/>
      <c r="E445" s="48"/>
      <c r="F445" s="48"/>
      <c r="G445" s="48"/>
      <c r="H445" s="49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</row>
    <row r="446" spans="2:22" x14ac:dyDescent="0.3">
      <c r="C446" s="2"/>
      <c r="D446" s="2"/>
      <c r="E446" s="2"/>
      <c r="F446" s="2"/>
      <c r="L446" s="83"/>
      <c r="M446" s="83"/>
      <c r="N446" s="83"/>
      <c r="O446" s="83"/>
      <c r="P446" s="83"/>
      <c r="Q446" s="83"/>
      <c r="R446" s="83"/>
      <c r="S446" s="83"/>
      <c r="T446" s="83"/>
      <c r="U446" s="83"/>
    </row>
    <row r="447" spans="2:22" ht="15.6" x14ac:dyDescent="0.3">
      <c r="C447" s="43" t="s">
        <v>389</v>
      </c>
      <c r="D447" s="43"/>
      <c r="E447" s="43"/>
      <c r="F447" s="43"/>
      <c r="G447" s="43"/>
      <c r="H447" s="44"/>
      <c r="I447" s="44"/>
      <c r="J447" s="44" t="str">
        <f>"FY"&amp;TEXT(RIGHT(K447,2)-(COLUMN(K447)-COLUMN()),"00")</f>
      </c>
      <c r="K447" s="44" t="str">
        <f t="shared" ref="K447" si="532">"FY"&amp;TEXT(RIGHT(L447,2)-(COLUMN(L447)-COLUMN()),"00")</f>
      </c>
      <c r="L447" s="79" t="str">
        <f t="shared" ref="L447" si="533">"FY"&amp;TEXT(RIGHT(M447,2)-(COLUMN(M447)-COLUMN()),"00")</f>
      </c>
      <c r="M447" s="79" t="str">
        <f t="shared" ref="M447" si="534">"FY"&amp;TEXT(RIGHT(N447,2)-(COLUMN(N447)-COLUMN()),"00")</f>
      </c>
      <c r="N447" s="79" t="str">
        <f t="shared" ref="N447" si="535">"FY"&amp;TEXT(RIGHT(O447,2)-(COLUMN(O447)-COLUMN()),"00")</f>
      </c>
      <c r="O447" s="79" t="str">
        <f t="shared" ref="O447" si="536">"FY"&amp;TEXT(RIGHT(P447,2)-(COLUMN(P447)-COLUMN()),"00")</f>
      </c>
      <c r="P447" s="79" t="str">
        <f t="shared" ref="P447" si="537">"FY"&amp;TEXT(RIGHT(Q447,2)-(COLUMN(Q447)-COLUMN()),"00")</f>
      </c>
      <c r="Q447" s="79" t="str">
        <f t="shared" ref="Q447" si="538">"FY"&amp;TEXT(RIGHT(R447,2)-(COLUMN(R447)-COLUMN()),"00")</f>
      </c>
      <c r="R447" s="79" t="str">
        <f t="shared" ref="R447" si="539">"FY"&amp;TEXT(RIGHT(S447,2)-(COLUMN(S447)-COLUMN()),"00")</f>
      </c>
      <c r="S447" s="79" t="str">
        <f t="shared" ref="S447" si="540">"FY"&amp;TEXT(RIGHT(T447,2)-(COLUMN(T447)-COLUMN()),"00")</f>
      </c>
      <c r="T447" s="79" t="str">
        <f t="shared" ref="T447" si="541">"FY"&amp;TEXT(RIGHT(U447,2)-(COLUMN(U447)-COLUMN()),"00")</f>
      </c>
      <c r="U447" s="79" t="str">
        <f>"FY"&amp;TEXT(DATE(YEAR('Data Sheet'!$K$16)+(MONTH('Data Sheet'!$K$16)&gt;3),1,1),"YY")</f>
      </c>
    </row>
    <row r="448" spans="2:22" ht="3" customHeight="1" x14ac:dyDescent="0.3"/>
    <row r="449" spans="3:21" ht="3" customHeight="1" x14ac:dyDescent="0.3"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3:21" ht="3" customHeight="1" x14ac:dyDescent="0.3"/>
    <row r="451" spans="3:21" ht="18" x14ac:dyDescent="0.35">
      <c r="C451" s="24" t="s">
        <v>269</v>
      </c>
      <c r="H451" s="77" t="str">
        <f>$H$10</f>
      </c>
    </row>
    <row r="452" spans="3:21" ht="3" customHeight="1" thickBot="1" x14ac:dyDescent="0.35"/>
    <row r="453" spans="3:21" ht="15" thickBot="1" x14ac:dyDescent="0.35">
      <c r="D453" s="2" t="s">
        <v>270</v>
      </c>
      <c r="J453" s="106"/>
      <c r="K453" s="107"/>
      <c r="L453" s="107">
        <f>IFERROR('Data Sheet'!B69, 0)</f>
      </c>
      <c r="M453" s="107">
        <f>IFERROR('Data Sheet'!C69, 0)</f>
      </c>
      <c r="N453" s="107">
        <f>IFERROR('Data Sheet'!D69, 0)</f>
      </c>
      <c r="O453" s="107">
        <f>IFERROR('Data Sheet'!E69, 0)</f>
      </c>
      <c r="P453" s="107">
        <f>IFERROR('Data Sheet'!F69, 0)</f>
      </c>
      <c r="Q453" s="107">
        <f>IFERROR('Data Sheet'!G69, 0)</f>
      </c>
      <c r="R453" s="107">
        <f>IFERROR('Data Sheet'!H69, 0)</f>
      </c>
      <c r="S453" s="107">
        <f>IFERROR('Data Sheet'!I69, 0)</f>
      </c>
      <c r="T453" s="107">
        <f>IFERROR('Data Sheet'!J69, 0)</f>
      </c>
      <c r="U453" s="108">
        <f>IFERROR('Data Sheet'!K69, 0)</f>
      </c>
    </row>
    <row r="454" spans="3:21" ht="15" thickBot="1" x14ac:dyDescent="0.35">
      <c r="D454" s="2" t="s">
        <v>271</v>
      </c>
      <c r="J454" s="90">
        <f t="shared" ref="J454:U454" si="542">SUM(J455:J458)</f>
      </c>
      <c r="K454" s="90">
        <f t="shared" si="542"/>
      </c>
      <c r="L454" s="90">
        <f t="shared" si="542"/>
      </c>
      <c r="M454" s="90">
        <f t="shared" si="542"/>
      </c>
      <c r="N454" s="90">
        <f t="shared" si="542"/>
      </c>
      <c r="O454" s="90">
        <f t="shared" si="542"/>
      </c>
      <c r="P454" s="90">
        <f t="shared" si="542"/>
      </c>
      <c r="Q454" s="90">
        <f t="shared" si="542"/>
      </c>
      <c r="R454" s="90">
        <f t="shared" si="542"/>
      </c>
      <c r="S454" s="90">
        <f t="shared" si="542"/>
      </c>
      <c r="T454" s="90">
        <f t="shared" si="542"/>
      </c>
      <c r="U454" s="90">
        <f t="shared" si="542"/>
      </c>
    </row>
    <row r="455" spans="3:21" x14ac:dyDescent="0.3">
      <c r="E455" t="s">
        <v>16</v>
      </c>
      <c r="J455" s="95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7"/>
    </row>
    <row r="456" spans="3:21" x14ac:dyDescent="0.3">
      <c r="E456" t="s">
        <v>93</v>
      </c>
      <c r="J456" s="98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99"/>
    </row>
    <row r="457" spans="3:21" x14ac:dyDescent="0.3">
      <c r="E457" t="s">
        <v>102</v>
      </c>
      <c r="J457" s="98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99"/>
    </row>
    <row r="458" spans="3:21" ht="15" thickBot="1" x14ac:dyDescent="0.35">
      <c r="E458" t="s">
        <v>272</v>
      </c>
      <c r="J458" s="100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2"/>
    </row>
    <row r="459" spans="3:21" ht="15" thickBot="1" x14ac:dyDescent="0.35">
      <c r="D459" s="2" t="s">
        <v>155</v>
      </c>
      <c r="J459" s="106"/>
      <c r="K459" s="107"/>
      <c r="L459" s="107">
        <f>IFERROR('Data Sheet'!B67, 0)</f>
      </c>
      <c r="M459" s="107">
        <f>IFERROR('Data Sheet'!C67, 0)</f>
      </c>
      <c r="N459" s="107">
        <f>IFERROR('Data Sheet'!D67, 0)</f>
      </c>
      <c r="O459" s="107">
        <f>IFERROR('Data Sheet'!E67, 0)</f>
      </c>
      <c r="P459" s="107">
        <f>IFERROR('Data Sheet'!F67, 0)</f>
      </c>
      <c r="Q459" s="107">
        <f>IFERROR('Data Sheet'!G67, 0)</f>
      </c>
      <c r="R459" s="107">
        <f>IFERROR('Data Sheet'!H67, 0)</f>
      </c>
      <c r="S459" s="107">
        <f>IFERROR('Data Sheet'!I67, 0)</f>
      </c>
      <c r="T459" s="107">
        <f>IFERROR('Data Sheet'!J67, 0)</f>
      </c>
      <c r="U459" s="108">
        <f>IFERROR('Data Sheet'!K67, 0)</f>
      </c>
    </row>
    <row r="460" spans="3:21" ht="15" thickBot="1" x14ac:dyDescent="0.35">
      <c r="D460" s="2" t="s">
        <v>30</v>
      </c>
      <c r="J460" s="106"/>
      <c r="K460" s="107"/>
      <c r="L460" s="107">
        <f>IFERROR('Data Sheet'!B68, 0)</f>
      </c>
      <c r="M460" s="107">
        <f>IFERROR('Data Sheet'!C68, 0)</f>
      </c>
      <c r="N460" s="107">
        <f>IFERROR('Data Sheet'!D68, 0)</f>
      </c>
      <c r="O460" s="107">
        <f>IFERROR('Data Sheet'!E68, 0)</f>
      </c>
      <c r="P460" s="107">
        <f>IFERROR('Data Sheet'!F68, 0)</f>
      </c>
      <c r="Q460" s="107">
        <f>IFERROR('Data Sheet'!G68, 0)</f>
      </c>
      <c r="R460" s="107">
        <f>IFERROR('Data Sheet'!H68, 0)</f>
      </c>
      <c r="S460" s="107">
        <f>IFERROR('Data Sheet'!I68, 0)</f>
      </c>
      <c r="T460" s="107">
        <f>IFERROR('Data Sheet'!J68, 0)</f>
      </c>
      <c r="U460" s="108">
        <f>IFERROR('Data Sheet'!K68, 0)</f>
      </c>
    </row>
    <row r="461" spans="3:21" ht="15" thickBot="1" x14ac:dyDescent="0.35">
      <c r="D461" s="2" t="s">
        <v>95</v>
      </c>
      <c r="J461" s="106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8"/>
    </row>
    <row r="462" spans="3:21" ht="15" thickBot="1" x14ac:dyDescent="0.35">
      <c r="D462" s="2" t="s">
        <v>94</v>
      </c>
      <c r="J462" s="90">
        <f>SUM(J463:J464)</f>
      </c>
      <c r="K462" s="90">
        <f t="shared" ref="K462:U462" si="543">SUM(K463:K464)</f>
      </c>
      <c r="L462" s="90">
        <f t="shared" si="543"/>
      </c>
      <c r="M462" s="90">
        <f t="shared" si="543"/>
      </c>
      <c r="N462" s="90">
        <f t="shared" si="543"/>
      </c>
      <c r="O462" s="90">
        <f t="shared" si="543"/>
      </c>
      <c r="P462" s="90">
        <f t="shared" si="543"/>
      </c>
      <c r="Q462" s="90">
        <f t="shared" si="543"/>
      </c>
      <c r="R462" s="90">
        <f t="shared" si="543"/>
      </c>
      <c r="S462" s="90">
        <f t="shared" si="543"/>
      </c>
      <c r="T462" s="90">
        <f t="shared" si="543"/>
      </c>
      <c r="U462" s="90">
        <f t="shared" si="543"/>
      </c>
    </row>
    <row r="463" spans="3:21" x14ac:dyDescent="0.3">
      <c r="E463" t="s">
        <v>103</v>
      </c>
      <c r="J463" s="95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7"/>
    </row>
    <row r="464" spans="3:21" ht="15" thickBot="1" x14ac:dyDescent="0.35">
      <c r="E464" t="s">
        <v>111</v>
      </c>
      <c r="J464" s="100"/>
      <c r="K464" s="101"/>
      <c r="L464" s="101">
        <f>IFERROR('Data Sheet'!B66-L453-L459-L460-L467-L471, 0)</f>
      </c>
      <c r="M464" s="101">
        <f>IFERROR('Data Sheet'!C66-M453-M459-M460-M467-M471, 0)</f>
      </c>
      <c r="N464" s="101">
        <f>IFERROR('Data Sheet'!D66-N453-N459-N460-N467-N471, 0)</f>
      </c>
      <c r="O464" s="101">
        <f>IFERROR('Data Sheet'!E66-O453-O459-O460-O467-O471, 0)</f>
      </c>
      <c r="P464" s="101">
        <f>IFERROR('Data Sheet'!F66-P453-P459-P460-P467-P471, 0)</f>
      </c>
      <c r="Q464" s="101">
        <f>IFERROR('Data Sheet'!G66-Q453-Q459-Q460-Q467-Q471, 0)</f>
      </c>
      <c r="R464" s="101">
        <f>IFERROR('Data Sheet'!H66-R453-R459-R460-R467-R471, 0)</f>
      </c>
      <c r="S464" s="101">
        <f>IFERROR('Data Sheet'!I66-S453-S459-S460-S467-S471, 0)</f>
      </c>
      <c r="T464" s="101">
        <f>IFERROR('Data Sheet'!J66-T453-T459-T460-T467-T471, 0)</f>
      </c>
      <c r="U464" s="102">
        <f>IFERROR('Data Sheet'!K66-U453-U459-U460-U467-U471, 0)</f>
      </c>
    </row>
    <row r="465" spans="4:21" x14ac:dyDescent="0.3">
      <c r="D465" s="2" t="s">
        <v>273</v>
      </c>
      <c r="J465" s="103">
        <f>J453+J462+J454+J461+J460+J459</f>
      </c>
      <c r="K465" s="103">
        <f t="shared" ref="K465:U465" si="544">K453+K462+K454+K461+K460+K459</f>
      </c>
      <c r="L465" s="103">
        <f t="shared" si="544"/>
      </c>
      <c r="M465" s="103">
        <f t="shared" si="544"/>
      </c>
      <c r="N465" s="103">
        <f t="shared" si="544"/>
      </c>
      <c r="O465" s="103">
        <f t="shared" si="544"/>
      </c>
      <c r="P465" s="103">
        <f t="shared" si="544"/>
      </c>
      <c r="Q465" s="103">
        <f t="shared" si="544"/>
      </c>
      <c r="R465" s="103">
        <f t="shared" si="544"/>
      </c>
      <c r="S465" s="103">
        <f t="shared" si="544"/>
      </c>
      <c r="T465" s="103">
        <f t="shared" si="544"/>
      </c>
      <c r="U465" s="103">
        <f t="shared" si="544"/>
      </c>
    </row>
    <row r="466" spans="4:21" x14ac:dyDescent="0.3"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</row>
    <row r="467" spans="4:21" ht="15" thickBot="1" x14ac:dyDescent="0.35">
      <c r="D467" s="2" t="s">
        <v>274</v>
      </c>
      <c r="J467" s="90">
        <f>SUM(J468:J470)</f>
      </c>
      <c r="K467" s="90">
        <f t="shared" ref="K467:U467" si="545">SUM(K468:K470)</f>
      </c>
      <c r="L467" s="90">
        <f t="shared" si="545"/>
      </c>
      <c r="M467" s="90">
        <f t="shared" si="545"/>
      </c>
      <c r="N467" s="90">
        <f t="shared" si="545"/>
      </c>
      <c r="O467" s="90">
        <f t="shared" si="545"/>
      </c>
      <c r="P467" s="90">
        <f t="shared" si="545"/>
      </c>
      <c r="Q467" s="90">
        <f t="shared" si="545"/>
      </c>
      <c r="R467" s="90">
        <f t="shared" si="545"/>
      </c>
      <c r="S467" s="90">
        <f t="shared" si="545"/>
      </c>
      <c r="T467" s="90">
        <f t="shared" si="545"/>
      </c>
      <c r="U467" s="90">
        <f t="shared" si="545"/>
      </c>
    </row>
    <row r="468" spans="4:21" x14ac:dyDescent="0.3">
      <c r="E468" t="s">
        <v>275</v>
      </c>
      <c r="J468" s="95"/>
      <c r="K468" s="96"/>
      <c r="L468" s="96">
        <f>IFERROR('Data Sheet'!B62, 0)</f>
      </c>
      <c r="M468" s="96">
        <f>IFERROR('Data Sheet'!C62, 0)</f>
      </c>
      <c r="N468" s="96">
        <f>IFERROR('Data Sheet'!D62, 0)</f>
      </c>
      <c r="O468" s="96">
        <f>IFERROR('Data Sheet'!E62, 0)</f>
      </c>
      <c r="P468" s="96">
        <f>IFERROR('Data Sheet'!F62, 0)</f>
      </c>
      <c r="Q468" s="96">
        <f>IFERROR('Data Sheet'!G62, 0)</f>
      </c>
      <c r="R468" s="96">
        <f>IFERROR('Data Sheet'!H62, 0)</f>
      </c>
      <c r="S468" s="96">
        <f>IFERROR('Data Sheet'!I62, 0)</f>
      </c>
      <c r="T468" s="96">
        <f>IFERROR('Data Sheet'!J62, 0)</f>
      </c>
      <c r="U468" s="97">
        <f>IFERROR('Data Sheet'!K62, 0)</f>
      </c>
    </row>
    <row r="469" spans="4:21" x14ac:dyDescent="0.3">
      <c r="E469" t="s">
        <v>276</v>
      </c>
      <c r="J469" s="98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99"/>
    </row>
    <row r="470" spans="4:21" ht="15" thickBot="1" x14ac:dyDescent="0.35">
      <c r="E470" t="s">
        <v>277</v>
      </c>
      <c r="J470" s="100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2"/>
    </row>
    <row r="471" spans="4:21" ht="15" thickBot="1" x14ac:dyDescent="0.35">
      <c r="D471" s="2" t="s">
        <v>278</v>
      </c>
      <c r="J471" s="106"/>
      <c r="K471" s="107"/>
      <c r="L471" s="107">
        <f>IFERROR('Data Sheet'!B64, 0)</f>
      </c>
      <c r="M471" s="107">
        <f>IFERROR('Data Sheet'!C64, 0)</f>
      </c>
      <c r="N471" s="107">
        <f>IFERROR('Data Sheet'!D64, 0)</f>
      </c>
      <c r="O471" s="107">
        <f>IFERROR('Data Sheet'!E64, 0)</f>
      </c>
      <c r="P471" s="107">
        <f>IFERROR('Data Sheet'!F64, 0)</f>
      </c>
      <c r="Q471" s="107">
        <f>IFERROR('Data Sheet'!G64, 0)</f>
      </c>
      <c r="R471" s="107">
        <f>IFERROR('Data Sheet'!H64, 0)</f>
      </c>
      <c r="S471" s="107">
        <f>IFERROR('Data Sheet'!I64, 0)</f>
      </c>
      <c r="T471" s="107">
        <f>IFERROR('Data Sheet'!J64, 0)</f>
      </c>
      <c r="U471" s="108">
        <f>IFERROR('Data Sheet'!K64, 0)</f>
      </c>
    </row>
    <row r="472" spans="4:21" ht="15" thickBot="1" x14ac:dyDescent="0.35">
      <c r="D472" s="2" t="s">
        <v>111</v>
      </c>
      <c r="J472" s="90">
        <f t="shared" ref="J472:U472" si="546">SUM(J473:J477)</f>
      </c>
      <c r="K472" s="90">
        <f t="shared" si="546"/>
      </c>
      <c r="L472" s="90">
        <f t="shared" si="546"/>
      </c>
      <c r="M472" s="90">
        <f t="shared" si="546"/>
      </c>
      <c r="N472" s="90">
        <f t="shared" si="546"/>
      </c>
      <c r="O472" s="90">
        <f t="shared" si="546"/>
      </c>
      <c r="P472" s="90">
        <f t="shared" si="546"/>
      </c>
      <c r="Q472" s="90">
        <f t="shared" si="546"/>
      </c>
      <c r="R472" s="90">
        <f t="shared" si="546"/>
      </c>
      <c r="S472" s="90">
        <f t="shared" si="546"/>
      </c>
      <c r="T472" s="90">
        <f t="shared" si="546"/>
      </c>
      <c r="U472" s="90">
        <f t="shared" si="546"/>
      </c>
    </row>
    <row r="473" spans="4:21" x14ac:dyDescent="0.3">
      <c r="E473" t="s">
        <v>279</v>
      </c>
      <c r="J473" s="95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7"/>
    </row>
    <row r="474" spans="4:21" x14ac:dyDescent="0.3">
      <c r="E474" t="s">
        <v>101</v>
      </c>
      <c r="J474" s="98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99"/>
    </row>
    <row r="475" spans="4:21" x14ac:dyDescent="0.3">
      <c r="E475" t="s">
        <v>280</v>
      </c>
      <c r="J475" s="98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99"/>
    </row>
    <row r="476" spans="4:21" x14ac:dyDescent="0.3">
      <c r="E476" t="s">
        <v>281</v>
      </c>
      <c r="J476" s="98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99"/>
    </row>
    <row r="477" spans="4:21" ht="15" thickBot="1" x14ac:dyDescent="0.35">
      <c r="E477" t="s">
        <v>111</v>
      </c>
      <c r="J477" s="100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2"/>
    </row>
    <row r="478" spans="4:21" x14ac:dyDescent="0.3">
      <c r="D478" s="2" t="s">
        <v>282</v>
      </c>
      <c r="J478" s="91">
        <f t="shared" ref="J478:T478" si="547">J467+J471+J472</f>
      </c>
      <c r="K478" s="91">
        <f t="shared" si="547"/>
      </c>
      <c r="L478" s="91">
        <f t="shared" si="547"/>
      </c>
      <c r="M478" s="91">
        <f t="shared" si="547"/>
      </c>
      <c r="N478" s="91">
        <f t="shared" si="547"/>
      </c>
      <c r="O478" s="91">
        <f t="shared" si="547"/>
      </c>
      <c r="P478" s="91">
        <f t="shared" si="547"/>
      </c>
      <c r="Q478" s="91">
        <f t="shared" si="547"/>
      </c>
      <c r="R478" s="91">
        <f t="shared" si="547"/>
      </c>
      <c r="S478" s="91">
        <f t="shared" si="547"/>
      </c>
      <c r="T478" s="91">
        <f t="shared" si="547"/>
      </c>
      <c r="U478" s="91">
        <f>U467+U471+U472</f>
      </c>
    </row>
    <row r="479" spans="4:21" ht="3" customHeight="1" x14ac:dyDescent="0.3"/>
    <row r="480" spans="4:21" ht="15" thickBot="1" x14ac:dyDescent="0.35">
      <c r="D480" s="2" t="s">
        <v>76</v>
      </c>
      <c r="J480" s="104">
        <f t="shared" ref="J480:U480" si="548">J465+J478</f>
      </c>
      <c r="K480" s="104">
        <f t="shared" si="548"/>
      </c>
      <c r="L480" s="104">
        <f t="shared" si="548"/>
      </c>
      <c r="M480" s="104">
        <f t="shared" si="548"/>
      </c>
      <c r="N480" s="104">
        <f t="shared" si="548"/>
      </c>
      <c r="O480" s="104">
        <f t="shared" si="548"/>
      </c>
      <c r="P480" s="104">
        <f t="shared" si="548"/>
      </c>
      <c r="Q480" s="104">
        <f t="shared" si="548"/>
      </c>
      <c r="R480" s="104">
        <f t="shared" si="548"/>
      </c>
      <c r="S480" s="104">
        <f t="shared" si="548"/>
      </c>
      <c r="T480" s="104">
        <f t="shared" si="548"/>
      </c>
      <c r="U480" s="104">
        <f t="shared" si="548"/>
      </c>
    </row>
    <row r="481" spans="2:22" ht="15" thickTop="1" x14ac:dyDescent="0.3"/>
    <row r="484" spans="2:22" ht="18" x14ac:dyDescent="0.35">
      <c r="B484" s="148" t="str">
        <f>'Assumptions&amp;Scenario'!$K$10</f>
      </c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</row>
    <row r="485" spans="2:22" ht="18" thickBot="1" x14ac:dyDescent="0.35">
      <c r="B485" s="47" t="s">
        <v>295</v>
      </c>
      <c r="C485" s="48"/>
      <c r="D485" s="48"/>
      <c r="E485" s="48"/>
      <c r="F485" s="48"/>
      <c r="G485" s="48"/>
      <c r="H485" s="49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</row>
    <row r="486" spans="2:22" x14ac:dyDescent="0.3">
      <c r="C486" s="2"/>
      <c r="D486" s="2"/>
      <c r="E486" s="2"/>
      <c r="F486" s="2"/>
      <c r="L486" s="83"/>
      <c r="M486" s="83"/>
      <c r="N486" s="83"/>
      <c r="O486" s="83"/>
      <c r="P486" s="83"/>
      <c r="Q486" s="83"/>
      <c r="R486" s="83"/>
      <c r="S486" s="83"/>
      <c r="T486" s="83"/>
      <c r="U486" s="83"/>
    </row>
    <row r="487" spans="2:22" ht="15.6" x14ac:dyDescent="0.3">
      <c r="C487" s="43" t="s">
        <v>389</v>
      </c>
      <c r="D487" s="43"/>
      <c r="E487" s="43"/>
      <c r="F487" s="43"/>
      <c r="G487" s="43"/>
      <c r="H487" s="44"/>
      <c r="I487" s="44"/>
      <c r="J487" s="44" t="str">
        <f>"FY"&amp;TEXT(RIGHT(K487,2)-(COLUMN(K487)-COLUMN()),"00")</f>
      </c>
      <c r="K487" s="44" t="str">
        <f t="shared" ref="K487" si="549">"FY"&amp;TEXT(RIGHT(L487,2)-(COLUMN(L487)-COLUMN()),"00")</f>
      </c>
      <c r="L487" s="79" t="str">
        <f t="shared" ref="L487" si="550">"FY"&amp;TEXT(RIGHT(M487,2)-(COLUMN(M487)-COLUMN()),"00")</f>
      </c>
      <c r="M487" s="79" t="str">
        <f t="shared" ref="M487" si="551">"FY"&amp;TEXT(RIGHT(N487,2)-(COLUMN(N487)-COLUMN()),"00")</f>
      </c>
      <c r="N487" s="79" t="str">
        <f t="shared" ref="N487" si="552">"FY"&amp;TEXT(RIGHT(O487,2)-(COLUMN(O487)-COLUMN()),"00")</f>
      </c>
      <c r="O487" s="79" t="str">
        <f t="shared" ref="O487" si="553">"FY"&amp;TEXT(RIGHT(P487,2)-(COLUMN(P487)-COLUMN()),"00")</f>
      </c>
      <c r="P487" s="79" t="str">
        <f t="shared" ref="P487" si="554">"FY"&amp;TEXT(RIGHT(Q487,2)-(COLUMN(Q487)-COLUMN()),"00")</f>
      </c>
      <c r="Q487" s="79" t="str">
        <f t="shared" ref="Q487" si="555">"FY"&amp;TEXT(RIGHT(R487,2)-(COLUMN(R487)-COLUMN()),"00")</f>
      </c>
      <c r="R487" s="79" t="str">
        <f t="shared" ref="R487" si="556">"FY"&amp;TEXT(RIGHT(S487,2)-(COLUMN(S487)-COLUMN()),"00")</f>
      </c>
      <c r="S487" s="79" t="str">
        <f t="shared" ref="S487" si="557">"FY"&amp;TEXT(RIGHT(T487,2)-(COLUMN(T487)-COLUMN()),"00")</f>
      </c>
      <c r="T487" s="79" t="str">
        <f t="shared" ref="T487" si="558">"FY"&amp;TEXT(RIGHT(U487,2)-(COLUMN(U487)-COLUMN()),"00")</f>
      </c>
      <c r="U487" s="79" t="str">
        <f>"FY"&amp;TEXT(DATE(YEAR('Data Sheet'!$K$16)+(MONTH('Data Sheet'!$K$16)&gt;3),1,1),"YY")</f>
      </c>
    </row>
    <row r="488" spans="2:22" ht="3" customHeight="1" x14ac:dyDescent="0.3"/>
    <row r="489" spans="2:22" ht="3" customHeight="1" x14ac:dyDescent="0.3"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2:22" ht="3" customHeight="1" x14ac:dyDescent="0.3"/>
    <row r="491" spans="2:22" ht="18" x14ac:dyDescent="0.35">
      <c r="C491" s="24" t="s">
        <v>614</v>
      </c>
      <c r="H491" s="77" t="str">
        <f>$H$10</f>
      </c>
    </row>
    <row r="492" spans="2:22" ht="3" customHeight="1" x14ac:dyDescent="0.3"/>
    <row r="493" spans="2:22" ht="15" thickBot="1" x14ac:dyDescent="0.35">
      <c r="D493" s="2" t="s">
        <v>104</v>
      </c>
      <c r="H493" s="77"/>
      <c r="J493" s="90">
        <f>SUM(J494:J496)</f>
      </c>
      <c r="K493" s="90">
        <f t="shared" ref="K493:U493" si="559">SUM(K494:K496)</f>
      </c>
      <c r="L493" s="90">
        <f t="shared" si="559"/>
      </c>
      <c r="M493" s="90">
        <f t="shared" si="559"/>
      </c>
      <c r="N493" s="90">
        <f t="shared" si="559"/>
      </c>
      <c r="O493" s="90">
        <f t="shared" si="559"/>
      </c>
      <c r="P493" s="90">
        <f t="shared" si="559"/>
      </c>
      <c r="Q493" s="90">
        <f t="shared" si="559"/>
      </c>
      <c r="R493" s="90">
        <f t="shared" si="559"/>
      </c>
      <c r="S493" s="90">
        <f t="shared" si="559"/>
      </c>
      <c r="T493" s="90">
        <f t="shared" si="559"/>
      </c>
      <c r="U493" s="90">
        <f t="shared" si="559"/>
      </c>
    </row>
    <row r="494" spans="2:22" x14ac:dyDescent="0.3">
      <c r="E494" t="s">
        <v>283</v>
      </c>
      <c r="J494" s="95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7"/>
    </row>
    <row r="495" spans="2:22" x14ac:dyDescent="0.3">
      <c r="E495" t="s">
        <v>284</v>
      </c>
      <c r="J495" s="98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99"/>
    </row>
    <row r="496" spans="2:22" x14ac:dyDescent="0.3">
      <c r="E496" t="s">
        <v>88</v>
      </c>
      <c r="J496" s="98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99"/>
    </row>
    <row r="497" spans="4:21" ht="15" thickBot="1" x14ac:dyDescent="0.35">
      <c r="D497" s="2" t="s">
        <v>157</v>
      </c>
      <c r="J497" s="100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2"/>
    </row>
    <row r="498" spans="4:21" ht="15" thickBot="1" x14ac:dyDescent="0.35">
      <c r="D498" s="2" t="s">
        <v>111</v>
      </c>
      <c r="J498" s="90">
        <f>SUM(J499:J503)</f>
      </c>
      <c r="K498" s="90">
        <f t="shared" ref="K498:U498" si="560">SUM(K499:K503)</f>
      </c>
      <c r="L498" s="90">
        <f t="shared" si="560"/>
      </c>
      <c r="M498" s="90">
        <f t="shared" si="560"/>
      </c>
      <c r="N498" s="90">
        <f t="shared" si="560"/>
      </c>
      <c r="O498" s="90">
        <f t="shared" si="560"/>
      </c>
      <c r="P498" s="90">
        <f t="shared" si="560"/>
      </c>
      <c r="Q498" s="90">
        <f t="shared" si="560"/>
      </c>
      <c r="R498" s="90">
        <f t="shared" si="560"/>
      </c>
      <c r="S498" s="90">
        <f t="shared" si="560"/>
      </c>
      <c r="T498" s="90">
        <f t="shared" si="560"/>
      </c>
      <c r="U498" s="90">
        <f t="shared" si="560"/>
      </c>
    </row>
    <row r="499" spans="4:21" x14ac:dyDescent="0.3">
      <c r="E499" t="s">
        <v>100</v>
      </c>
      <c r="J499" s="95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7"/>
    </row>
    <row r="500" spans="4:21" x14ac:dyDescent="0.3">
      <c r="E500" t="s">
        <v>90</v>
      </c>
      <c r="J500" s="98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99"/>
    </row>
    <row r="501" spans="4:21" x14ac:dyDescent="0.3">
      <c r="E501" t="s">
        <v>99</v>
      </c>
      <c r="J501" s="98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99"/>
    </row>
    <row r="502" spans="4:21" x14ac:dyDescent="0.3">
      <c r="E502" t="s">
        <v>285</v>
      </c>
      <c r="J502" s="98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99"/>
    </row>
    <row r="503" spans="4:21" ht="15" thickBot="1" x14ac:dyDescent="0.35">
      <c r="E503" t="s">
        <v>91</v>
      </c>
      <c r="J503" s="100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2"/>
    </row>
    <row r="504" spans="4:21" x14ac:dyDescent="0.3">
      <c r="D504" s="2" t="s">
        <v>286</v>
      </c>
      <c r="J504" s="103">
        <f>J493+J497+J498</f>
      </c>
      <c r="K504" s="103">
        <f t="shared" ref="K504:U504" si="561">K493+K497+K498</f>
      </c>
      <c r="L504" s="103">
        <f t="shared" si="561"/>
      </c>
      <c r="M504" s="103">
        <f t="shared" si="561"/>
      </c>
      <c r="N504" s="103">
        <f t="shared" si="561"/>
      </c>
      <c r="O504" s="103">
        <f t="shared" si="561"/>
      </c>
      <c r="P504" s="103">
        <f t="shared" si="561"/>
      </c>
      <c r="Q504" s="103">
        <f t="shared" si="561"/>
      </c>
      <c r="R504" s="103">
        <f t="shared" si="561"/>
      </c>
      <c r="S504" s="103">
        <f t="shared" si="561"/>
      </c>
      <c r="T504" s="103">
        <f t="shared" si="561"/>
      </c>
      <c r="U504" s="103">
        <f t="shared" si="561"/>
      </c>
    </row>
    <row r="505" spans="4:21" ht="15" thickBot="1" x14ac:dyDescent="0.35"/>
    <row r="506" spans="4:21" ht="15" thickBot="1" x14ac:dyDescent="0.35">
      <c r="D506" s="2" t="s">
        <v>236</v>
      </c>
      <c r="J506" s="106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8"/>
    </row>
    <row r="507" spans="4:21" ht="15" thickBot="1" x14ac:dyDescent="0.35">
      <c r="D507" s="2" t="s">
        <v>48</v>
      </c>
      <c r="J507" s="90">
        <f>SUM(J508:J513)</f>
      </c>
      <c r="K507" s="90">
        <f t="shared" ref="K507:U507" si="562">SUM(K508:K513)</f>
      </c>
      <c r="L507" s="90">
        <f t="shared" si="562"/>
      </c>
      <c r="M507" s="90">
        <f t="shared" si="562"/>
      </c>
      <c r="N507" s="90">
        <f t="shared" si="562"/>
      </c>
      <c r="O507" s="90">
        <f t="shared" si="562"/>
      </c>
      <c r="P507" s="90">
        <f t="shared" si="562"/>
      </c>
      <c r="Q507" s="90">
        <f t="shared" si="562"/>
      </c>
      <c r="R507" s="90">
        <f t="shared" si="562"/>
      </c>
      <c r="S507" s="90">
        <f t="shared" si="562"/>
      </c>
      <c r="T507" s="90">
        <f t="shared" si="562"/>
      </c>
      <c r="U507" s="90">
        <f t="shared" si="562"/>
      </c>
    </row>
    <row r="508" spans="4:21" x14ac:dyDescent="0.3">
      <c r="E508" t="s">
        <v>287</v>
      </c>
      <c r="J508" s="95"/>
      <c r="K508" s="96"/>
      <c r="L508" s="96">
        <f>IFERROR('Data Sheet'!B59, 0)</f>
      </c>
      <c r="M508" s="96">
        <f>IFERROR('Data Sheet'!C59, 0)</f>
      </c>
      <c r="N508" s="96">
        <f>IFERROR('Data Sheet'!D59, 0)</f>
      </c>
      <c r="O508" s="96">
        <f>IFERROR('Data Sheet'!E59, 0)</f>
      </c>
      <c r="P508" s="96">
        <f>IFERROR('Data Sheet'!F59, 0)</f>
      </c>
      <c r="Q508" s="96">
        <f>IFERROR('Data Sheet'!G59, 0)</f>
      </c>
      <c r="R508" s="96">
        <f>IFERROR('Data Sheet'!H59, 0)</f>
      </c>
      <c r="S508" s="96">
        <f>IFERROR('Data Sheet'!I59, 0)</f>
      </c>
      <c r="T508" s="96">
        <f>IFERROR('Data Sheet'!J59, 0)</f>
      </c>
      <c r="U508" s="97">
        <f>IFERROR('Data Sheet'!K59, 0)</f>
      </c>
    </row>
    <row r="509" spans="4:21" x14ac:dyDescent="0.3">
      <c r="E509" t="s">
        <v>284</v>
      </c>
      <c r="J509" s="98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99"/>
    </row>
    <row r="510" spans="4:21" x14ac:dyDescent="0.3">
      <c r="E510" t="s">
        <v>88</v>
      </c>
      <c r="J510" s="98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99"/>
    </row>
    <row r="511" spans="4:21" x14ac:dyDescent="0.3">
      <c r="E511" t="s">
        <v>99</v>
      </c>
      <c r="J511" s="98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99"/>
    </row>
    <row r="512" spans="4:21" x14ac:dyDescent="0.3">
      <c r="E512" t="s">
        <v>100</v>
      </c>
      <c r="J512" s="98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99"/>
    </row>
    <row r="513" spans="3:21" ht="15" thickBot="1" x14ac:dyDescent="0.35">
      <c r="E513" t="s">
        <v>89</v>
      </c>
      <c r="J513" s="100"/>
      <c r="K513" s="101"/>
      <c r="L513" s="101">
        <f>IFERROR('Data Sheet'!B60, 0)</f>
      </c>
      <c r="M513" s="101">
        <f>IFERROR('Data Sheet'!C60, 0)</f>
      </c>
      <c r="N513" s="101">
        <f>IFERROR('Data Sheet'!D60, 0)</f>
      </c>
      <c r="O513" s="101">
        <f>IFERROR('Data Sheet'!E60, 0)</f>
      </c>
      <c r="P513" s="101">
        <f>IFERROR('Data Sheet'!F60, 0)</f>
      </c>
      <c r="Q513" s="101">
        <f>IFERROR('Data Sheet'!G60, 0)</f>
      </c>
      <c r="R513" s="101">
        <f>IFERROR('Data Sheet'!H60, 0)</f>
      </c>
      <c r="S513" s="101">
        <f>IFERROR('Data Sheet'!I60, 0)</f>
      </c>
      <c r="T513" s="101">
        <f>IFERROR('Data Sheet'!J60, 0)</f>
      </c>
      <c r="U513" s="102">
        <f>IFERROR('Data Sheet'!K60, 0)</f>
      </c>
    </row>
    <row r="514" spans="3:21" x14ac:dyDescent="0.3">
      <c r="D514" s="2" t="s">
        <v>288</v>
      </c>
      <c r="J514" s="103">
        <f>J506+J507</f>
      </c>
      <c r="K514" s="103">
        <f t="shared" ref="K514:U514" si="563">K506+K507</f>
      </c>
      <c r="L514" s="103">
        <f t="shared" si="563"/>
      </c>
      <c r="M514" s="103">
        <f t="shared" si="563"/>
      </c>
      <c r="N514" s="103">
        <f t="shared" si="563"/>
      </c>
      <c r="O514" s="103">
        <f t="shared" si="563"/>
      </c>
      <c r="P514" s="103">
        <f t="shared" si="563"/>
      </c>
      <c r="Q514" s="103">
        <f t="shared" si="563"/>
      </c>
      <c r="R514" s="103">
        <f t="shared" si="563"/>
      </c>
      <c r="S514" s="103">
        <f t="shared" si="563"/>
      </c>
      <c r="T514" s="103">
        <f t="shared" si="563"/>
      </c>
      <c r="U514" s="103">
        <f t="shared" si="563"/>
      </c>
    </row>
    <row r="515" spans="3:21" ht="3" customHeight="1" x14ac:dyDescent="0.3"/>
    <row r="516" spans="3:21" x14ac:dyDescent="0.3">
      <c r="D516" s="2" t="s">
        <v>289</v>
      </c>
      <c r="J516" s="91">
        <f>J514+J504</f>
      </c>
      <c r="K516" s="91">
        <f t="shared" ref="K516:U516" si="564">K514+K504</f>
      </c>
      <c r="L516" s="91">
        <f t="shared" si="564"/>
      </c>
      <c r="M516" s="91">
        <f t="shared" si="564"/>
      </c>
      <c r="N516" s="91">
        <f t="shared" si="564"/>
      </c>
      <c r="O516" s="91">
        <f t="shared" si="564"/>
      </c>
      <c r="P516" s="91">
        <f t="shared" si="564"/>
      </c>
      <c r="Q516" s="91">
        <f t="shared" si="564"/>
      </c>
      <c r="R516" s="91">
        <f t="shared" si="564"/>
      </c>
      <c r="S516" s="91">
        <f t="shared" si="564"/>
      </c>
      <c r="T516" s="91">
        <f t="shared" si="564"/>
      </c>
      <c r="U516" s="91">
        <f t="shared" si="564"/>
      </c>
    </row>
    <row r="517" spans="3:21" ht="15" thickBot="1" x14ac:dyDescent="0.35"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</row>
    <row r="518" spans="3:21" ht="15" thickBot="1" x14ac:dyDescent="0.35">
      <c r="D518" t="s">
        <v>290</v>
      </c>
      <c r="J518" s="106"/>
      <c r="K518" s="107"/>
      <c r="L518" s="107">
        <f>IFERROR('Data Sheet'!B57, 0)</f>
      </c>
      <c r="M518" s="107">
        <f>IFERROR('Data Sheet'!C57, 0)</f>
      </c>
      <c r="N518" s="107">
        <f>IFERROR('Data Sheet'!D57, 0)</f>
      </c>
      <c r="O518" s="107">
        <f>IFERROR('Data Sheet'!E57, 0)</f>
      </c>
      <c r="P518" s="107">
        <f>IFERROR('Data Sheet'!F57, 0)</f>
      </c>
      <c r="Q518" s="107">
        <f>IFERROR('Data Sheet'!G57, 0)</f>
      </c>
      <c r="R518" s="107">
        <f>IFERROR('Data Sheet'!H57, 0)</f>
      </c>
      <c r="S518" s="107">
        <f>IFERROR('Data Sheet'!I57, 0)</f>
      </c>
      <c r="T518" s="107">
        <f>IFERROR('Data Sheet'!J57, 0)</f>
      </c>
      <c r="U518" s="108">
        <f>IFERROR('Data Sheet'!K57, 0)</f>
      </c>
    </row>
    <row r="519" spans="3:21" ht="15" thickBot="1" x14ac:dyDescent="0.35">
      <c r="D519" s="2" t="s">
        <v>291</v>
      </c>
      <c r="J519" s="90">
        <f>SUM(J520:J521)</f>
      </c>
      <c r="K519" s="90">
        <f t="shared" ref="K519:U519" si="565">SUM(K520:K521)</f>
      </c>
      <c r="L519" s="90">
        <f t="shared" si="565"/>
      </c>
      <c r="M519" s="90">
        <f t="shared" si="565"/>
      </c>
      <c r="N519" s="90">
        <f t="shared" si="565"/>
      </c>
      <c r="O519" s="90">
        <f t="shared" si="565"/>
      </c>
      <c r="P519" s="90">
        <f t="shared" si="565"/>
      </c>
      <c r="Q519" s="90">
        <f t="shared" si="565"/>
      </c>
      <c r="R519" s="90">
        <f t="shared" si="565"/>
      </c>
      <c r="S519" s="90">
        <f t="shared" si="565"/>
      </c>
      <c r="T519" s="90">
        <f t="shared" si="565"/>
      </c>
      <c r="U519" s="90">
        <f t="shared" si="565"/>
      </c>
    </row>
    <row r="520" spans="3:21" x14ac:dyDescent="0.3">
      <c r="E520" t="s">
        <v>85</v>
      </c>
      <c r="J520" s="95"/>
      <c r="K520" s="96"/>
      <c r="L520" s="96">
        <f>IFERROR('Data Sheet'!B58, 0)</f>
      </c>
      <c r="M520" s="96">
        <f>IFERROR('Data Sheet'!C58, 0)</f>
      </c>
      <c r="N520" s="96">
        <f>IFERROR('Data Sheet'!D58, 0)</f>
      </c>
      <c r="O520" s="96">
        <f>IFERROR('Data Sheet'!E58, 0)</f>
      </c>
      <c r="P520" s="96">
        <f>IFERROR('Data Sheet'!F58, 0)</f>
      </c>
      <c r="Q520" s="96">
        <f>IFERROR('Data Sheet'!G58, 0)</f>
      </c>
      <c r="R520" s="96">
        <f>IFERROR('Data Sheet'!H58, 0)</f>
      </c>
      <c r="S520" s="96">
        <f>IFERROR('Data Sheet'!I58, 0)</f>
      </c>
      <c r="T520" s="96">
        <f>IFERROR('Data Sheet'!J58, 0)</f>
      </c>
      <c r="U520" s="97">
        <f>IFERROR('Data Sheet'!K58, 0)</f>
      </c>
    </row>
    <row r="521" spans="3:21" ht="15" thickBot="1" x14ac:dyDescent="0.35">
      <c r="E521" t="s">
        <v>98</v>
      </c>
      <c r="J521" s="100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2"/>
    </row>
    <row r="522" spans="3:21" x14ac:dyDescent="0.3">
      <c r="D522" s="2" t="s">
        <v>292</v>
      </c>
      <c r="J522" s="91">
        <f>J518+J519</f>
      </c>
      <c r="K522" s="91">
        <f t="shared" ref="K522:U522" si="566">K518+K519</f>
      </c>
      <c r="L522" s="91">
        <f t="shared" si="566"/>
      </c>
      <c r="M522" s="91">
        <f t="shared" si="566"/>
      </c>
      <c r="N522" s="91">
        <f t="shared" si="566"/>
      </c>
      <c r="O522" s="91">
        <f t="shared" si="566"/>
      </c>
      <c r="P522" s="91">
        <f t="shared" si="566"/>
      </c>
      <c r="Q522" s="91">
        <f t="shared" si="566"/>
      </c>
      <c r="R522" s="91">
        <f t="shared" si="566"/>
      </c>
      <c r="S522" s="91">
        <f t="shared" si="566"/>
      </c>
      <c r="T522" s="91">
        <f t="shared" si="566"/>
      </c>
      <c r="U522" s="91">
        <f t="shared" si="566"/>
      </c>
    </row>
    <row r="523" spans="3:21" x14ac:dyDescent="0.3"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</row>
    <row r="524" spans="3:21" ht="15" thickBot="1" x14ac:dyDescent="0.35">
      <c r="C524" s="2" t="s">
        <v>293</v>
      </c>
      <c r="J524" s="104">
        <f>J516+J522</f>
      </c>
      <c r="K524" s="104">
        <f t="shared" ref="K524:U524" si="567">K516+K522</f>
      </c>
      <c r="L524" s="104">
        <f t="shared" si="567"/>
      </c>
      <c r="M524" s="104">
        <f t="shared" si="567"/>
      </c>
      <c r="N524" s="104">
        <f t="shared" si="567"/>
      </c>
      <c r="O524" s="104">
        <f t="shared" si="567"/>
      </c>
      <c r="P524" s="104">
        <f t="shared" si="567"/>
      </c>
      <c r="Q524" s="104">
        <f t="shared" si="567"/>
      </c>
      <c r="R524" s="104">
        <f t="shared" si="567"/>
      </c>
      <c r="S524" s="104">
        <f t="shared" si="567"/>
      </c>
      <c r="T524" s="104">
        <f t="shared" si="567"/>
      </c>
      <c r="U524" s="104">
        <f t="shared" si="567"/>
      </c>
    </row>
    <row r="525" spans="3:21" ht="15" thickTop="1" x14ac:dyDescent="0.3">
      <c r="E525" s="78" t="s">
        <v>294</v>
      </c>
      <c r="J525" s="105">
        <f t="shared" ref="J525:U525" si="568">ROUND(J524-J480, 3)</f>
      </c>
      <c r="K525" s="105">
        <f t="shared" si="568"/>
      </c>
      <c r="L525" s="105">
        <f t="shared" si="568"/>
      </c>
      <c r="M525" s="105">
        <f t="shared" si="568"/>
      </c>
      <c r="N525" s="105">
        <f t="shared" si="568"/>
      </c>
      <c r="O525" s="105">
        <f t="shared" si="568"/>
      </c>
      <c r="P525" s="105">
        <f t="shared" si="568"/>
      </c>
      <c r="Q525" s="105">
        <f t="shared" si="568"/>
      </c>
      <c r="R525" s="105">
        <f t="shared" si="568"/>
      </c>
      <c r="S525" s="105">
        <f t="shared" si="568"/>
      </c>
      <c r="T525" s="105">
        <f t="shared" si="568"/>
      </c>
      <c r="U525" s="105">
        <f t="shared" si="568"/>
      </c>
    </row>
    <row r="529" spans="2:34" ht="18" x14ac:dyDescent="0.35">
      <c r="B529" s="148" t="str">
        <f>'Assumptions&amp;Scenario'!$K$10</f>
      </c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</row>
    <row r="530" spans="2:34" ht="18" thickBot="1" x14ac:dyDescent="0.35">
      <c r="B530" s="47" t="s">
        <v>311</v>
      </c>
      <c r="C530" s="48"/>
      <c r="D530" s="48"/>
      <c r="E530" s="48"/>
      <c r="F530" s="48"/>
      <c r="G530" s="48"/>
      <c r="H530" s="49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</row>
    <row r="531" spans="2:34" x14ac:dyDescent="0.3">
      <c r="C531" s="2"/>
      <c r="D531" s="2"/>
      <c r="E531" s="2"/>
      <c r="F531" s="2"/>
      <c r="L531" s="83"/>
      <c r="M531" s="83"/>
      <c r="N531" s="83"/>
      <c r="O531" s="83"/>
      <c r="P531" s="83"/>
      <c r="Q531" s="83"/>
      <c r="R531" s="83"/>
      <c r="S531" s="83"/>
      <c r="T531" s="83"/>
      <c r="U531" s="83"/>
    </row>
    <row r="532" spans="2:34" ht="15.6" x14ac:dyDescent="0.3">
      <c r="C532" s="43" t="s">
        <v>389</v>
      </c>
      <c r="D532" s="43"/>
      <c r="E532" s="43"/>
      <c r="F532" s="43"/>
      <c r="G532" s="43"/>
      <c r="H532" s="44"/>
      <c r="I532" s="44"/>
      <c r="J532" s="44" t="str">
        <f>"FY"&amp;TEXT(RIGHT(K532,2)-(COLUMN(K532)-COLUMN()),"00")</f>
      </c>
      <c r="K532" s="44" t="str">
        <f t="shared" ref="K532" si="569">"FY"&amp;TEXT(RIGHT(L532,2)-(COLUMN(L532)-COLUMN()),"00")</f>
      </c>
      <c r="L532" s="79" t="str">
        <f t="shared" ref="L532" si="570">"FY"&amp;TEXT(RIGHT(M532,2)-(COLUMN(M532)-COLUMN()),"00")</f>
      </c>
      <c r="M532" s="79" t="str">
        <f t="shared" ref="M532" si="571">"FY"&amp;TEXT(RIGHT(N532,2)-(COLUMN(N532)-COLUMN()),"00")</f>
      </c>
      <c r="N532" s="79" t="str">
        <f t="shared" ref="N532" si="572">"FY"&amp;TEXT(RIGHT(O532,2)-(COLUMN(O532)-COLUMN()),"00")</f>
      </c>
      <c r="O532" s="79" t="str">
        <f t="shared" ref="O532" si="573">"FY"&amp;TEXT(RIGHT(P532,2)-(COLUMN(P532)-COLUMN()),"00")</f>
      </c>
      <c r="P532" s="79" t="str">
        <f t="shared" ref="P532" si="574">"FY"&amp;TEXT(RIGHT(Q532,2)-(COLUMN(Q532)-COLUMN()),"00")</f>
      </c>
      <c r="Q532" s="79" t="str">
        <f t="shared" ref="Q532" si="575">"FY"&amp;TEXT(RIGHT(R532,2)-(COLUMN(R532)-COLUMN()),"00")</f>
      </c>
      <c r="R532" s="79" t="str">
        <f t="shared" ref="R532" si="576">"FY"&amp;TEXT(RIGHT(S532,2)-(COLUMN(S532)-COLUMN()),"00")</f>
      </c>
      <c r="S532" s="79" t="str">
        <f t="shared" ref="S532" si="577">"FY"&amp;TEXT(RIGHT(T532,2)-(COLUMN(T532)-COLUMN()),"00")</f>
      </c>
      <c r="T532" s="79" t="str">
        <f t="shared" ref="T532" si="578">"FY"&amp;TEXT(RIGHT(U532,2)-(COLUMN(U532)-COLUMN()),"00")</f>
      </c>
      <c r="U532" s="79" t="str">
        <f>"FY"&amp;TEXT(DATE(YEAR('Data Sheet'!$K$16)+(MONTH('Data Sheet'!$K$16)&gt;3),1,1),"YY")</f>
      </c>
    </row>
    <row r="533" spans="2:34" ht="3" customHeight="1" x14ac:dyDescent="0.3"/>
    <row r="534" spans="2:34" ht="3" customHeight="1" x14ac:dyDescent="0.3"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spans="2:34" ht="3" customHeight="1" x14ac:dyDescent="0.3"/>
    <row r="536" spans="2:34" ht="18" x14ac:dyDescent="0.35">
      <c r="C536" s="24" t="s">
        <v>381</v>
      </c>
      <c r="H536" s="77" t="str">
        <f>$H$10</f>
      </c>
    </row>
    <row r="537" spans="2:34" ht="3" customHeight="1" x14ac:dyDescent="0.3"/>
    <row r="538" spans="2:34" x14ac:dyDescent="0.3">
      <c r="C538" t="s">
        <v>83</v>
      </c>
      <c r="J538" s="40">
        <f t="shared" ref="J538:U538" si="579">J10</f>
      </c>
      <c r="K538" s="40">
        <f t="shared" si="579"/>
      </c>
      <c r="L538" s="40">
        <f t="shared" si="579"/>
      </c>
      <c r="M538" s="40">
        <f t="shared" si="579"/>
      </c>
      <c r="N538" s="40">
        <f t="shared" si="579"/>
      </c>
      <c r="O538" s="40">
        <f t="shared" si="579"/>
      </c>
      <c r="P538" s="40">
        <f t="shared" si="579"/>
      </c>
      <c r="Q538" s="40">
        <f t="shared" si="579"/>
      </c>
      <c r="R538" s="40">
        <f t="shared" si="579"/>
      </c>
      <c r="S538" s="40">
        <f t="shared" si="579"/>
      </c>
      <c r="T538" s="40">
        <f t="shared" si="579"/>
      </c>
      <c r="U538" s="40">
        <f t="shared" si="579"/>
      </c>
    </row>
    <row r="539" spans="2:34" x14ac:dyDescent="0.3">
      <c r="C539" t="s">
        <v>115</v>
      </c>
      <c r="J539" s="40">
        <f t="shared" ref="J539:U539" si="580">J327</f>
      </c>
      <c r="K539" s="40">
        <f t="shared" si="580"/>
      </c>
      <c r="L539" s="40">
        <f t="shared" si="580"/>
      </c>
      <c r="M539" s="40">
        <f t="shared" si="580"/>
      </c>
      <c r="N539" s="40">
        <f t="shared" si="580"/>
      </c>
      <c r="O539" s="40">
        <f t="shared" si="580"/>
      </c>
      <c r="P539" s="40">
        <f t="shared" si="580"/>
      </c>
      <c r="Q539" s="40">
        <f t="shared" si="580"/>
      </c>
      <c r="R539" s="40">
        <f t="shared" si="580"/>
      </c>
      <c r="S539" s="40">
        <f t="shared" si="580"/>
      </c>
      <c r="T539" s="40">
        <f t="shared" si="580"/>
      </c>
      <c r="U539" s="40">
        <f t="shared" si="580"/>
      </c>
    </row>
    <row r="540" spans="2:34" x14ac:dyDescent="0.3">
      <c r="C540" t="s">
        <v>74</v>
      </c>
      <c r="J540" s="40">
        <f t="shared" ref="J540:U540" si="581">J332</f>
      </c>
      <c r="K540" s="40">
        <f t="shared" si="581"/>
      </c>
      <c r="L540" s="40">
        <f t="shared" si="581"/>
      </c>
      <c r="M540" s="40">
        <f t="shared" si="581"/>
      </c>
      <c r="N540" s="40">
        <f t="shared" si="581"/>
      </c>
      <c r="O540" s="40">
        <f t="shared" si="581"/>
      </c>
      <c r="P540" s="40">
        <f t="shared" si="581"/>
      </c>
      <c r="Q540" s="40">
        <f t="shared" si="581"/>
      </c>
      <c r="R540" s="40">
        <f t="shared" si="581"/>
      </c>
      <c r="S540" s="40">
        <f t="shared" si="581"/>
      </c>
      <c r="T540" s="40">
        <f t="shared" si="581"/>
      </c>
      <c r="U540" s="40">
        <f t="shared" si="581"/>
      </c>
    </row>
    <row r="541" spans="2:34" x14ac:dyDescent="0.3">
      <c r="C541" s="78" t="s">
        <v>312</v>
      </c>
      <c r="D541" s="78"/>
      <c r="E541" s="78"/>
      <c r="F541" s="78"/>
      <c r="G541" s="78"/>
      <c r="H541" s="78"/>
      <c r="J541" s="92">
        <f t="shared" ref="J541:U541" si="582">J343</f>
      </c>
      <c r="K541" s="92">
        <f t="shared" si="582"/>
      </c>
      <c r="L541" s="92">
        <f t="shared" si="582"/>
      </c>
      <c r="M541" s="92">
        <f t="shared" si="582"/>
      </c>
      <c r="N541" s="92">
        <f t="shared" si="582"/>
      </c>
      <c r="O541" s="92">
        <f t="shared" si="582"/>
      </c>
      <c r="P541" s="92">
        <f t="shared" si="582"/>
      </c>
      <c r="Q541" s="92">
        <f t="shared" si="582"/>
      </c>
      <c r="R541" s="92">
        <f t="shared" si="582"/>
      </c>
      <c r="S541" s="92">
        <f t="shared" si="582"/>
      </c>
      <c r="T541" s="92">
        <f t="shared" si="582"/>
      </c>
      <c r="U541" s="92">
        <f t="shared" si="582"/>
      </c>
      <c r="Y541" s="92">
        <f t="shared" ref="Y541:AH541" si="583">Y343</f>
      </c>
      <c r="Z541" s="92">
        <f t="shared" si="583"/>
      </c>
      <c r="AA541" s="92">
        <f t="shared" si="583"/>
      </c>
      <c r="AB541" s="92">
        <f t="shared" si="583"/>
      </c>
      <c r="AC541" s="92">
        <f t="shared" si="583"/>
      </c>
      <c r="AD541" s="92">
        <f t="shared" si="583"/>
      </c>
      <c r="AE541" s="92">
        <f t="shared" si="583"/>
      </c>
      <c r="AF541" s="92">
        <f t="shared" si="583"/>
      </c>
      <c r="AG541" s="92">
        <f t="shared" si="583"/>
      </c>
      <c r="AH541" s="92">
        <f t="shared" si="583"/>
      </c>
    </row>
    <row r="542" spans="2:34" x14ac:dyDescent="0.3">
      <c r="C542" s="2" t="s">
        <v>313</v>
      </c>
      <c r="D542" s="2"/>
      <c r="E542" s="2"/>
      <c r="F542" s="2"/>
      <c r="G542" s="2"/>
      <c r="H542" s="2"/>
      <c r="J542" s="91">
        <f>IFERROR(J540*(1-J541), 0)</f>
      </c>
      <c r="K542" s="91">
        <f t="shared" ref="K542:T542" si="584">IFERROR(K540*(1-K541), 0)</f>
      </c>
      <c r="L542" s="91">
        <f t="shared" si="584"/>
      </c>
      <c r="M542" s="91">
        <f t="shared" si="584"/>
      </c>
      <c r="N542" s="91">
        <f t="shared" si="584"/>
      </c>
      <c r="O542" s="91">
        <f t="shared" si="584"/>
      </c>
      <c r="P542" s="91">
        <f t="shared" si="584"/>
      </c>
      <c r="Q542" s="91">
        <f t="shared" si="584"/>
      </c>
      <c r="R542" s="91">
        <f t="shared" si="584"/>
      </c>
      <c r="S542" s="91">
        <f t="shared" si="584"/>
      </c>
      <c r="T542" s="91">
        <f t="shared" si="584"/>
      </c>
      <c r="U542" s="91">
        <f>IFERROR(U540*(1-U541), 0)</f>
      </c>
    </row>
    <row r="543" spans="2:34" x14ac:dyDescent="0.3">
      <c r="C543" t="s">
        <v>314</v>
      </c>
      <c r="D543" s="2"/>
      <c r="E543" s="2"/>
      <c r="F543" s="2"/>
      <c r="G543" s="2"/>
      <c r="H543" s="2"/>
      <c r="J543" s="40">
        <f t="shared" ref="J543:T543" si="585">IFERROR((J540-J539)*(1-J541), 0)</f>
      </c>
      <c r="K543" s="40">
        <f t="shared" si="585"/>
      </c>
      <c r="L543" s="40">
        <f t="shared" si="585"/>
      </c>
      <c r="M543" s="40">
        <f t="shared" si="585"/>
      </c>
      <c r="N543" s="40">
        <f t="shared" si="585"/>
      </c>
      <c r="O543" s="40">
        <f t="shared" si="585"/>
      </c>
      <c r="P543" s="40">
        <f t="shared" si="585"/>
      </c>
      <c r="Q543" s="40">
        <f t="shared" si="585"/>
      </c>
      <c r="R543" s="40">
        <f t="shared" si="585"/>
      </c>
      <c r="S543" s="40">
        <f t="shared" si="585"/>
      </c>
      <c r="T543" s="40">
        <f t="shared" si="585"/>
      </c>
      <c r="U543" s="40">
        <f>IFERROR((U540-U539)*(1-U541), 0)</f>
      </c>
    </row>
    <row r="544" spans="2:34" x14ac:dyDescent="0.3">
      <c r="C544" s="2" t="s">
        <v>238</v>
      </c>
      <c r="D544" s="2"/>
      <c r="E544" s="2"/>
      <c r="F544" s="2"/>
      <c r="G544" s="2"/>
      <c r="H544" s="2"/>
      <c r="I544" s="91">
        <f t="shared" ref="I544:U544" si="586">I344</f>
      </c>
      <c r="J544" s="91">
        <f t="shared" si="586"/>
      </c>
      <c r="K544" s="91">
        <f t="shared" si="586"/>
      </c>
      <c r="L544" s="91">
        <f t="shared" si="586"/>
      </c>
      <c r="M544" s="91">
        <f t="shared" si="586"/>
      </c>
      <c r="N544" s="91">
        <f t="shared" si="586"/>
      </c>
      <c r="O544" s="91">
        <f t="shared" si="586"/>
      </c>
      <c r="P544" s="91">
        <f t="shared" si="586"/>
      </c>
      <c r="Q544" s="91">
        <f t="shared" si="586"/>
      </c>
      <c r="R544" s="91">
        <f t="shared" si="586"/>
      </c>
      <c r="S544" s="91">
        <f t="shared" si="586"/>
      </c>
      <c r="T544" s="91">
        <f t="shared" si="586"/>
      </c>
      <c r="U544" s="91">
        <f t="shared" si="586"/>
      </c>
    </row>
    <row r="545" spans="3:21" ht="3" customHeight="1" x14ac:dyDescent="0.3"/>
    <row r="546" spans="3:21" x14ac:dyDescent="0.3">
      <c r="C546" t="s">
        <v>315</v>
      </c>
      <c r="J546" s="40">
        <f t="shared" ref="J546:U546" si="587">J467</f>
      </c>
      <c r="K546" s="40">
        <f t="shared" si="587"/>
      </c>
      <c r="L546" s="40">
        <f t="shared" si="587"/>
      </c>
      <c r="M546" s="40">
        <f t="shared" si="587"/>
      </c>
      <c r="N546" s="40">
        <f t="shared" si="587"/>
      </c>
      <c r="O546" s="40">
        <f t="shared" si="587"/>
      </c>
      <c r="P546" s="40">
        <f t="shared" si="587"/>
      </c>
      <c r="Q546" s="40">
        <f t="shared" si="587"/>
      </c>
      <c r="R546" s="40">
        <f t="shared" si="587"/>
      </c>
      <c r="S546" s="40">
        <f t="shared" si="587"/>
      </c>
      <c r="T546" s="40">
        <f t="shared" si="587"/>
      </c>
      <c r="U546" s="40">
        <f t="shared" si="587"/>
      </c>
    </row>
    <row r="547" spans="3:21" x14ac:dyDescent="0.3">
      <c r="C547" t="s">
        <v>316</v>
      </c>
      <c r="J547" s="40">
        <f t="shared" ref="J547:U547" si="588">J331</f>
      </c>
      <c r="K547" s="40">
        <f t="shared" si="588"/>
      </c>
      <c r="L547" s="40">
        <f t="shared" si="588"/>
      </c>
      <c r="M547" s="40">
        <f t="shared" si="588"/>
      </c>
      <c r="N547" s="40">
        <f t="shared" si="588"/>
      </c>
      <c r="O547" s="40">
        <f t="shared" si="588"/>
      </c>
      <c r="P547" s="40">
        <f t="shared" si="588"/>
      </c>
      <c r="Q547" s="40">
        <f t="shared" si="588"/>
      </c>
      <c r="R547" s="40">
        <f t="shared" si="588"/>
      </c>
      <c r="S547" s="40">
        <f t="shared" si="588"/>
      </c>
      <c r="T547" s="40">
        <f t="shared" si="588"/>
      </c>
      <c r="U547" s="40">
        <f t="shared" si="588"/>
      </c>
    </row>
    <row r="548" spans="3:21" x14ac:dyDescent="0.3">
      <c r="C548" t="s">
        <v>77</v>
      </c>
      <c r="J548" s="40">
        <f t="shared" ref="J548:U548" si="589">-(J421+J423+J424)</f>
      </c>
      <c r="K548" s="40">
        <f t="shared" si="589"/>
      </c>
      <c r="L548" s="40">
        <f t="shared" si="589"/>
      </c>
      <c r="M548" s="40">
        <f t="shared" si="589"/>
      </c>
      <c r="N548" s="40">
        <f t="shared" si="589"/>
      </c>
      <c r="O548" s="40">
        <f t="shared" si="589"/>
      </c>
      <c r="P548" s="40">
        <f t="shared" si="589"/>
      </c>
      <c r="Q548" s="40">
        <f t="shared" si="589"/>
      </c>
      <c r="R548" s="40">
        <f t="shared" si="589"/>
      </c>
      <c r="S548" s="40">
        <f t="shared" si="589"/>
      </c>
      <c r="T548" s="40">
        <f t="shared" si="589"/>
      </c>
      <c r="U548" s="40">
        <f t="shared" si="589"/>
      </c>
    </row>
    <row r="549" spans="3:21" x14ac:dyDescent="0.3">
      <c r="C549" t="s">
        <v>317</v>
      </c>
      <c r="J549" s="40">
        <f t="shared" ref="J549:U549" si="590">IFERROR(SUM(J459:J461, J463:J464) - SUM(I459:I461, I463:I464)-(SUM(J497, J499:J503) - SUM(I497, I499:I503)), 0)</f>
      </c>
      <c r="K549" s="40">
        <f t="shared" si="590"/>
      </c>
      <c r="L549" s="40">
        <f t="shared" si="590"/>
      </c>
      <c r="M549" s="40">
        <f t="shared" si="590"/>
      </c>
      <c r="N549" s="40">
        <f t="shared" si="590"/>
      </c>
      <c r="O549" s="40">
        <f t="shared" si="590"/>
      </c>
      <c r="P549" s="40">
        <f t="shared" si="590"/>
      </c>
      <c r="Q549" s="40">
        <f t="shared" si="590"/>
      </c>
      <c r="R549" s="40">
        <f t="shared" si="590"/>
      </c>
      <c r="S549" s="40">
        <f t="shared" si="590"/>
      </c>
      <c r="T549" s="40">
        <f t="shared" si="590"/>
      </c>
      <c r="U549" s="40">
        <f t="shared" si="590"/>
      </c>
    </row>
    <row r="550" spans="3:21" x14ac:dyDescent="0.3">
      <c r="C550" s="2" t="s">
        <v>109</v>
      </c>
      <c r="D550" s="2"/>
      <c r="E550" s="2"/>
      <c r="F550" s="2"/>
      <c r="G550" s="2"/>
      <c r="H550" s="2"/>
      <c r="J550" s="91">
        <f t="shared" ref="J550:T550" si="591">J548+J549-J547</f>
      </c>
      <c r="K550" s="91">
        <f t="shared" si="591"/>
      </c>
      <c r="L550" s="91">
        <f t="shared" si="591"/>
      </c>
      <c r="M550" s="91">
        <f t="shared" si="591"/>
      </c>
      <c r="N550" s="91">
        <f t="shared" si="591"/>
      </c>
      <c r="O550" s="91">
        <f t="shared" si="591"/>
      </c>
      <c r="P550" s="91">
        <f t="shared" si="591"/>
      </c>
      <c r="Q550" s="91">
        <f t="shared" si="591"/>
      </c>
      <c r="R550" s="91">
        <f t="shared" si="591"/>
      </c>
      <c r="S550" s="91">
        <f t="shared" si="591"/>
      </c>
      <c r="T550" s="91">
        <f t="shared" si="591"/>
      </c>
      <c r="U550" s="91">
        <f>U548+U549-U547</f>
      </c>
    </row>
    <row r="551" spans="3:21" x14ac:dyDescent="0.3">
      <c r="C551" s="2" t="s">
        <v>78</v>
      </c>
      <c r="J551" s="91">
        <f t="shared" ref="J551:T551" si="592">IFERROR(J542-J550, 0)</f>
      </c>
      <c r="K551" s="91">
        <f t="shared" si="592"/>
      </c>
      <c r="L551" s="91">
        <f t="shared" si="592"/>
      </c>
      <c r="M551" s="91">
        <f t="shared" si="592"/>
      </c>
      <c r="N551" s="91">
        <f t="shared" si="592"/>
      </c>
      <c r="O551" s="91">
        <f t="shared" si="592"/>
      </c>
      <c r="P551" s="91">
        <f t="shared" si="592"/>
      </c>
      <c r="Q551" s="91">
        <f t="shared" si="592"/>
      </c>
      <c r="R551" s="91">
        <f t="shared" si="592"/>
      </c>
      <c r="S551" s="91">
        <f t="shared" si="592"/>
      </c>
      <c r="T551" s="91">
        <f t="shared" si="592"/>
      </c>
      <c r="U551" s="91">
        <f t="shared" ref="U551" si="593">IFERROR(U542-U550, 0)</f>
      </c>
    </row>
    <row r="552" spans="3:21" ht="3" customHeight="1" x14ac:dyDescent="0.3"/>
    <row r="553" spans="3:21" x14ac:dyDescent="0.3">
      <c r="C553" t="s">
        <v>318</v>
      </c>
      <c r="J553" s="40">
        <f t="shared" ref="J553:U553" si="594">J516+J522-J453-J454</f>
      </c>
      <c r="K553" s="40">
        <f t="shared" si="594"/>
      </c>
      <c r="L553" s="40">
        <f t="shared" si="594"/>
      </c>
      <c r="M553" s="40">
        <f t="shared" si="594"/>
      </c>
      <c r="N553" s="40">
        <f t="shared" si="594"/>
      </c>
      <c r="O553" s="40">
        <f t="shared" si="594"/>
      </c>
      <c r="P553" s="40">
        <f t="shared" si="594"/>
      </c>
      <c r="Q553" s="40">
        <f t="shared" si="594"/>
      </c>
      <c r="R553" s="40">
        <f t="shared" si="594"/>
      </c>
      <c r="S553" s="40">
        <f t="shared" si="594"/>
      </c>
      <c r="T553" s="40">
        <f t="shared" si="594"/>
      </c>
      <c r="U553" s="40">
        <f t="shared" si="594"/>
      </c>
    </row>
    <row r="554" spans="3:21" x14ac:dyDescent="0.3">
      <c r="C554" t="s">
        <v>319</v>
      </c>
      <c r="K554" s="40">
        <f>IF(AND(J553&gt;0, K553&gt;0), AVERAGE(J553:K553), 0)</f>
      </c>
      <c r="L554" s="40">
        <f t="shared" ref="L554:U554" si="595">IF(AND(K553&gt;0, L553&gt;0), AVERAGE(K553:L553), 0)</f>
      </c>
      <c r="M554" s="40">
        <f t="shared" si="595"/>
      </c>
      <c r="N554" s="40">
        <f t="shared" si="595"/>
      </c>
      <c r="O554" s="40">
        <f t="shared" si="595"/>
      </c>
      <c r="P554" s="40">
        <f t="shared" si="595"/>
      </c>
      <c r="Q554" s="40">
        <f t="shared" si="595"/>
      </c>
      <c r="R554" s="40">
        <f t="shared" si="595"/>
      </c>
      <c r="S554" s="40">
        <f t="shared" si="595"/>
      </c>
      <c r="T554" s="40">
        <f t="shared" si="595"/>
      </c>
      <c r="U554" s="40">
        <f t="shared" si="595"/>
      </c>
    </row>
    <row r="555" spans="3:21" x14ac:dyDescent="0.3">
      <c r="C555" t="s">
        <v>320</v>
      </c>
      <c r="K555" s="40">
        <f t="shared" ref="K555:U555" si="596">IF(AND(J522&gt;0,K522&gt;0), AVERAGE(J522:K522), 0)</f>
      </c>
      <c r="L555" s="40">
        <f t="shared" si="596"/>
      </c>
      <c r="M555" s="40">
        <f t="shared" si="596"/>
      </c>
      <c r="N555" s="40">
        <f t="shared" si="596"/>
      </c>
      <c r="O555" s="40">
        <f t="shared" si="596"/>
      </c>
      <c r="P555" s="40">
        <f t="shared" si="596"/>
      </c>
      <c r="Q555" s="40">
        <f t="shared" si="596"/>
      </c>
      <c r="R555" s="40">
        <f t="shared" si="596"/>
      </c>
      <c r="S555" s="40">
        <f t="shared" si="596"/>
      </c>
      <c r="T555" s="40">
        <f t="shared" si="596"/>
      </c>
      <c r="U555" s="40">
        <f t="shared" si="596"/>
      </c>
    </row>
    <row r="556" spans="3:21" x14ac:dyDescent="0.3">
      <c r="C556" s="2"/>
    </row>
    <row r="557" spans="3:21" x14ac:dyDescent="0.3">
      <c r="C557" s="111" t="s">
        <v>321</v>
      </c>
      <c r="D557" s="112"/>
      <c r="E557" s="112"/>
      <c r="F557" s="112"/>
      <c r="G557" s="112"/>
      <c r="H557" s="112"/>
      <c r="I557" s="113"/>
      <c r="J557" s="113"/>
      <c r="K557" s="114">
        <f t="shared" ref="K557:U557" si="597">IFERROR(K550/K551, 0)</f>
      </c>
      <c r="L557" s="114">
        <f t="shared" si="597"/>
      </c>
      <c r="M557" s="114">
        <f t="shared" si="597"/>
      </c>
      <c r="N557" s="114">
        <f t="shared" si="597"/>
      </c>
      <c r="O557" s="114">
        <f t="shared" si="597"/>
      </c>
      <c r="P557" s="114">
        <f t="shared" si="597"/>
      </c>
      <c r="Q557" s="114">
        <f t="shared" si="597"/>
      </c>
      <c r="R557" s="114">
        <f t="shared" si="597"/>
      </c>
      <c r="S557" s="114">
        <f t="shared" si="597"/>
      </c>
      <c r="T557" s="114">
        <f t="shared" si="597"/>
      </c>
      <c r="U557" s="115">
        <f t="shared" si="597"/>
      </c>
    </row>
    <row r="558" spans="3:21" x14ac:dyDescent="0.3">
      <c r="C558" s="116" t="s">
        <v>322</v>
      </c>
      <c r="D558" s="141"/>
      <c r="E558" s="141"/>
      <c r="F558" s="141"/>
      <c r="G558" s="141"/>
      <c r="H558" s="141"/>
      <c r="K558" s="142">
        <f t="shared" ref="K558:T558" si="598">IFERROR(MAX(K548, 0)/L538, 0)</f>
      </c>
      <c r="L558" s="142">
        <f t="shared" si="598"/>
      </c>
      <c r="M558" s="142">
        <f t="shared" si="598"/>
      </c>
      <c r="N558" s="142">
        <f t="shared" si="598"/>
      </c>
      <c r="O558" s="142">
        <f t="shared" si="598"/>
      </c>
      <c r="P558" s="142">
        <f t="shared" si="598"/>
      </c>
      <c r="Q558" s="142">
        <f t="shared" si="598"/>
      </c>
      <c r="R558" s="142">
        <f t="shared" si="598"/>
      </c>
      <c r="S558" s="142">
        <f t="shared" si="598"/>
      </c>
      <c r="T558" s="142">
        <f t="shared" si="598"/>
      </c>
      <c r="U558" s="117"/>
    </row>
    <row r="559" spans="3:21" x14ac:dyDescent="0.3">
      <c r="C559" s="118" t="s">
        <v>323</v>
      </c>
      <c r="K559" s="50">
        <f>IFERROR(K538/K554, 0)</f>
      </c>
      <c r="L559" s="50">
        <f t="shared" ref="L559:U559" si="599">IFERROR(L538/L554, 0)</f>
      </c>
      <c r="M559" s="50">
        <f t="shared" si="599"/>
      </c>
      <c r="N559" s="50">
        <f t="shared" si="599"/>
      </c>
      <c r="O559" s="50">
        <f t="shared" si="599"/>
      </c>
      <c r="P559" s="50">
        <f t="shared" si="599"/>
      </c>
      <c r="Q559" s="50">
        <f t="shared" si="599"/>
      </c>
      <c r="R559" s="50">
        <f t="shared" si="599"/>
      </c>
      <c r="S559" s="50">
        <f t="shared" si="599"/>
      </c>
      <c r="T559" s="50">
        <f t="shared" si="599"/>
      </c>
      <c r="U559" s="119">
        <f t="shared" si="599"/>
      </c>
    </row>
    <row r="560" spans="3:21" x14ac:dyDescent="0.3">
      <c r="C560" s="116" t="s">
        <v>324</v>
      </c>
      <c r="D560" s="141"/>
      <c r="E560" s="141"/>
      <c r="F560" s="141"/>
      <c r="G560" s="141"/>
      <c r="H560" s="141"/>
      <c r="K560" s="40">
        <f>IFERROR(J546/K547, 0)</f>
      </c>
      <c r="L560" s="40">
        <f t="shared" ref="L560:U560" si="600">IFERROR(K546/L547, 0)</f>
      </c>
      <c r="M560" s="40">
        <f t="shared" si="600"/>
      </c>
      <c r="N560" s="40">
        <f t="shared" si="600"/>
      </c>
      <c r="O560" s="40">
        <f t="shared" si="600"/>
      </c>
      <c r="P560" s="40">
        <f t="shared" si="600"/>
      </c>
      <c r="Q560" s="40">
        <f t="shared" si="600"/>
      </c>
      <c r="R560" s="40">
        <f t="shared" si="600"/>
      </c>
      <c r="S560" s="40">
        <f t="shared" si="600"/>
      </c>
      <c r="T560" s="40">
        <f t="shared" si="600"/>
      </c>
      <c r="U560" s="143">
        <f t="shared" si="600"/>
      </c>
    </row>
    <row r="561" spans="2:34" x14ac:dyDescent="0.3">
      <c r="C561" s="137" t="s">
        <v>325</v>
      </c>
      <c r="K561" s="142">
        <f t="shared" ref="K561:U561" si="601">IFERROR(K538/K554, 0)</f>
      </c>
      <c r="L561" s="142">
        <f t="shared" si="601"/>
      </c>
      <c r="M561" s="142">
        <f t="shared" si="601"/>
      </c>
      <c r="N561" s="142">
        <f t="shared" si="601"/>
      </c>
      <c r="O561" s="142">
        <f t="shared" si="601"/>
      </c>
      <c r="P561" s="142">
        <f t="shared" si="601"/>
      </c>
      <c r="Q561" s="142">
        <f t="shared" si="601"/>
      </c>
      <c r="R561" s="142">
        <f t="shared" si="601"/>
      </c>
      <c r="S561" s="142">
        <f t="shared" si="601"/>
      </c>
      <c r="T561" s="142">
        <f t="shared" si="601"/>
      </c>
      <c r="U561" s="117">
        <f t="shared" si="601"/>
      </c>
    </row>
    <row r="562" spans="2:34" x14ac:dyDescent="0.3">
      <c r="C562" s="118" t="s">
        <v>326</v>
      </c>
      <c r="K562" s="142">
        <f t="shared" ref="K562:U562" si="602">IFERROR(K542/K554, 0)</f>
      </c>
      <c r="L562" s="142">
        <f t="shared" si="602"/>
      </c>
      <c r="M562" s="142">
        <f t="shared" si="602"/>
      </c>
      <c r="N562" s="142">
        <f t="shared" si="602"/>
      </c>
      <c r="O562" s="142">
        <f t="shared" si="602"/>
      </c>
      <c r="P562" s="142">
        <f t="shared" si="602"/>
      </c>
      <c r="Q562" s="142">
        <f t="shared" si="602"/>
      </c>
      <c r="R562" s="142">
        <f t="shared" si="602"/>
      </c>
      <c r="S562" s="142">
        <f t="shared" si="602"/>
      </c>
      <c r="T562" s="142">
        <f t="shared" si="602"/>
      </c>
      <c r="U562" s="117">
        <f t="shared" si="602"/>
      </c>
      <c r="AH562" s="71"/>
    </row>
    <row r="563" spans="2:34" x14ac:dyDescent="0.3">
      <c r="C563" s="118" t="s">
        <v>327</v>
      </c>
      <c r="K563" s="142">
        <f t="shared" ref="K563:U563" si="603">IFERROR(K543/K554, 0)</f>
      </c>
      <c r="L563" s="142">
        <f t="shared" si="603"/>
      </c>
      <c r="M563" s="142">
        <f t="shared" si="603"/>
      </c>
      <c r="N563" s="142">
        <f t="shared" si="603"/>
      </c>
      <c r="O563" s="142">
        <f t="shared" si="603"/>
      </c>
      <c r="P563" s="142">
        <f t="shared" si="603"/>
      </c>
      <c r="Q563" s="142">
        <f t="shared" si="603"/>
      </c>
      <c r="R563" s="142">
        <f t="shared" si="603"/>
      </c>
      <c r="S563" s="142">
        <f t="shared" si="603"/>
      </c>
      <c r="T563" s="142">
        <f t="shared" si="603"/>
      </c>
      <c r="U563" s="117">
        <f t="shared" si="603"/>
      </c>
    </row>
    <row r="564" spans="2:34" x14ac:dyDescent="0.3">
      <c r="C564" s="122" t="s">
        <v>42</v>
      </c>
      <c r="D564" s="120"/>
      <c r="E564" s="120"/>
      <c r="F564" s="120"/>
      <c r="G564" s="120"/>
      <c r="H564" s="120"/>
      <c r="I564" s="120"/>
      <c r="J564" s="120"/>
      <c r="K564" s="123">
        <f t="shared" ref="K564:U564" si="604">IFERROR(K544/K555, 0)</f>
      </c>
      <c r="L564" s="123">
        <f t="shared" si="604"/>
      </c>
      <c r="M564" s="123">
        <f t="shared" si="604"/>
      </c>
      <c r="N564" s="123">
        <f t="shared" si="604"/>
      </c>
      <c r="O564" s="123">
        <f t="shared" si="604"/>
      </c>
      <c r="P564" s="123">
        <f t="shared" si="604"/>
      </c>
      <c r="Q564" s="123">
        <f t="shared" si="604"/>
      </c>
      <c r="R564" s="123">
        <f t="shared" si="604"/>
      </c>
      <c r="S564" s="123">
        <f t="shared" si="604"/>
      </c>
      <c r="T564" s="123">
        <f t="shared" si="604"/>
      </c>
      <c r="U564" s="124">
        <f t="shared" si="604"/>
      </c>
    </row>
    <row r="565" spans="2:34" ht="8.25" customHeight="1" x14ac:dyDescent="0.3"/>
    <row r="566" spans="2:34" ht="18" x14ac:dyDescent="0.35">
      <c r="C566" s="24" t="s">
        <v>382</v>
      </c>
    </row>
    <row r="567" spans="2:34" ht="3" customHeight="1" x14ac:dyDescent="0.3"/>
    <row r="568" spans="2:34" x14ac:dyDescent="0.3">
      <c r="C568" t="s">
        <v>236</v>
      </c>
      <c r="K568" s="40">
        <f t="shared" ref="K568:U568" si="605">K341</f>
      </c>
      <c r="L568" s="40">
        <f t="shared" si="605"/>
      </c>
      <c r="M568" s="40">
        <f t="shared" si="605"/>
      </c>
      <c r="N568" s="40">
        <f t="shared" si="605"/>
      </c>
      <c r="O568" s="40">
        <f t="shared" si="605"/>
      </c>
      <c r="P568" s="40">
        <f t="shared" si="605"/>
      </c>
      <c r="Q568" s="40">
        <f t="shared" si="605"/>
      </c>
      <c r="R568" s="40">
        <f t="shared" si="605"/>
      </c>
      <c r="S568" s="40">
        <f t="shared" si="605"/>
      </c>
      <c r="T568" s="40">
        <f t="shared" si="605"/>
      </c>
      <c r="U568" s="40">
        <f t="shared" si="605"/>
      </c>
      <c r="V568" s="40">
        <f>V344</f>
      </c>
      <c r="Y568" s="71" cm="1">
        <f t="array" ref="Y568">IFERROR(_xlfn.FORECAST.LINEAR(RIGHT(Y$6,2), $J568:$U568, VALUE(RIGHT($J$6:$U$6,2))), 0)</f>
      </c>
      <c r="Z568" s="71" cm="1">
        <f t="array" ref="Z568">IFERROR(_xlfn.FORECAST.LINEAR(RIGHT(Z$6,2), $J568:$U568, VALUE(RIGHT($J$6:$U$6,2))), 0)</f>
      </c>
      <c r="AA568" s="71" cm="1">
        <f t="array" ref="AA568">IFERROR(_xlfn.FORECAST.LINEAR(RIGHT(AA$6,2), $J568:$U568, VALUE(RIGHT($J$6:$U$6,2))), 0)</f>
      </c>
      <c r="AB568" s="71" cm="1">
        <f t="array" ref="AB568">IFERROR(_xlfn.FORECAST.LINEAR(RIGHT(AB$6,2), $J568:$U568, VALUE(RIGHT($J$6:$U$6,2))), 0)</f>
      </c>
      <c r="AC568" s="71" cm="1">
        <f t="array" ref="AC568">IFERROR(_xlfn.FORECAST.LINEAR(RIGHT(AC$6,2), $J568:$U568, VALUE(RIGHT($J$6:$U$6,2))), 0)</f>
      </c>
      <c r="AD568" s="71" cm="1">
        <f t="array" ref="AD568">IFERROR(_xlfn.FORECAST.LINEAR(RIGHT(AD$6,2), $J568:$U568, VALUE(RIGHT($J$6:$U$6,2))), 0)</f>
      </c>
      <c r="AE568" s="71" cm="1">
        <f t="array" ref="AE568">IFERROR(_xlfn.FORECAST.LINEAR(RIGHT(AE$6,2), $J568:$U568, VALUE(RIGHT($J$6:$U$6,2))), 0)</f>
      </c>
      <c r="AF568" s="71" cm="1">
        <f t="array" ref="AF568">IFERROR(_xlfn.FORECAST.LINEAR(RIGHT(AF$6,2), $J568:$U568, VALUE(RIGHT($J$6:$U$6,2))), 0)</f>
      </c>
      <c r="AG568" s="71" cm="1">
        <f t="array" ref="AG568">IFERROR(_xlfn.FORECAST.LINEAR(RIGHT(AG$6,2), $J568:$U568, VALUE(RIGHT($J$6:$U$6,2))), 0)</f>
      </c>
      <c r="AH568" s="71" cm="1">
        <f t="array" ref="AH568">IFERROR(_xlfn.FORECAST.LINEAR(RIGHT(AH$6,2), $J568:$U568, VALUE(RIGHT($J$6:$U$6,2))), 0)</f>
      </c>
    </row>
    <row r="569" spans="2:34" x14ac:dyDescent="0.3">
      <c r="C569" t="s">
        <v>377</v>
      </c>
      <c r="K569" s="40">
        <f>K342</f>
      </c>
      <c r="L569" s="40">
        <f t="shared" ref="L569:U569" si="606">L342</f>
      </c>
      <c r="M569" s="40">
        <f t="shared" si="606"/>
      </c>
      <c r="N569" s="40">
        <f t="shared" si="606"/>
      </c>
      <c r="O569" s="40">
        <f t="shared" si="606"/>
      </c>
      <c r="P569" s="40">
        <f t="shared" si="606"/>
      </c>
      <c r="Q569" s="40">
        <f t="shared" si="606"/>
      </c>
      <c r="R569" s="40">
        <f t="shared" si="606"/>
      </c>
      <c r="S569" s="40">
        <f t="shared" si="606"/>
      </c>
      <c r="T569" s="40">
        <f t="shared" si="606"/>
      </c>
      <c r="U569" s="40">
        <f t="shared" si="606"/>
      </c>
      <c r="V569" s="40"/>
      <c r="Y569" s="40">
        <f t="shared" ref="Y569:AH569" si="607">Y342</f>
      </c>
      <c r="Z569" s="40">
        <f t="shared" si="607"/>
      </c>
      <c r="AA569" s="40">
        <f t="shared" si="607"/>
      </c>
      <c r="AB569" s="40">
        <f t="shared" si="607"/>
      </c>
      <c r="AC569" s="40">
        <f t="shared" si="607"/>
      </c>
      <c r="AD569" s="40">
        <f t="shared" si="607"/>
      </c>
      <c r="AE569" s="40">
        <f t="shared" si="607"/>
      </c>
      <c r="AF569" s="40">
        <f t="shared" si="607"/>
      </c>
      <c r="AG569" s="40">
        <f t="shared" si="607"/>
      </c>
      <c r="AH569" s="40">
        <f t="shared" si="607"/>
      </c>
    </row>
    <row r="570" spans="2:34" x14ac:dyDescent="0.3">
      <c r="C570" s="78" t="s">
        <v>312</v>
      </c>
      <c r="D570" s="78"/>
      <c r="E570" s="78"/>
      <c r="F570" s="78"/>
      <c r="G570" s="78"/>
      <c r="H570" s="78"/>
      <c r="K570" s="92">
        <f t="shared" ref="K570:U570" si="608">K541</f>
      </c>
      <c r="L570" s="92">
        <f t="shared" si="608"/>
      </c>
      <c r="M570" s="92">
        <f t="shared" si="608"/>
      </c>
      <c r="N570" s="92">
        <f t="shared" si="608"/>
      </c>
      <c r="O570" s="92">
        <f t="shared" si="608"/>
      </c>
      <c r="P570" s="92">
        <f t="shared" si="608"/>
      </c>
      <c r="Q570" s="92">
        <f t="shared" si="608"/>
      </c>
      <c r="R570" s="92">
        <f t="shared" si="608"/>
      </c>
      <c r="S570" s="92">
        <f t="shared" si="608"/>
      </c>
      <c r="T570" s="92">
        <f t="shared" si="608"/>
      </c>
      <c r="U570" s="92">
        <f t="shared" si="608"/>
      </c>
      <c r="V570" s="40">
        <f>V346</f>
      </c>
      <c r="Y570" s="92">
        <f t="shared" ref="Y570:AH570" si="609">Y541</f>
      </c>
      <c r="Z570" s="92">
        <f t="shared" si="609"/>
      </c>
      <c r="AA570" s="92">
        <f t="shared" si="609"/>
      </c>
      <c r="AB570" s="92">
        <f t="shared" si="609"/>
      </c>
      <c r="AC570" s="92">
        <f t="shared" si="609"/>
      </c>
      <c r="AD570" s="92">
        <f t="shared" si="609"/>
      </c>
      <c r="AE570" s="92">
        <f t="shared" si="609"/>
      </c>
      <c r="AF570" s="92">
        <f t="shared" si="609"/>
      </c>
      <c r="AG570" s="92">
        <f t="shared" si="609"/>
      </c>
      <c r="AH570" s="92">
        <f t="shared" si="609"/>
      </c>
    </row>
    <row r="571" spans="2:34" x14ac:dyDescent="0.3">
      <c r="C571" t="s">
        <v>328</v>
      </c>
      <c r="D571" s="78"/>
      <c r="E571" s="78"/>
      <c r="F571" s="78"/>
      <c r="G571" s="78"/>
      <c r="H571" s="78"/>
      <c r="K571" s="92">
        <f>IFERROR(K568/K569, 0)</f>
      </c>
      <c r="L571" s="92">
        <f t="shared" ref="L571:U571" si="610">IFERROR(L568/L569, 0)</f>
      </c>
      <c r="M571" s="92">
        <f t="shared" si="610"/>
      </c>
      <c r="N571" s="92">
        <f t="shared" si="610"/>
      </c>
      <c r="O571" s="92">
        <f t="shared" si="610"/>
      </c>
      <c r="P571" s="92">
        <f t="shared" si="610"/>
      </c>
      <c r="Q571" s="92">
        <f t="shared" si="610"/>
      </c>
      <c r="R571" s="92">
        <f t="shared" si="610"/>
      </c>
      <c r="S571" s="92">
        <f t="shared" si="610"/>
      </c>
      <c r="T571" s="92">
        <f t="shared" si="610"/>
      </c>
      <c r="U571" s="92">
        <f t="shared" si="610"/>
      </c>
      <c r="V571" s="92">
        <f>IFERROR(V344/V346, 0)</f>
      </c>
      <c r="Y571" s="92">
        <f t="shared" ref="Y571:AH571" si="611">IFERROR(Y568/Y569, 0)</f>
      </c>
      <c r="Z571" s="92">
        <f t="shared" si="611"/>
      </c>
      <c r="AA571" s="92">
        <f t="shared" si="611"/>
      </c>
      <c r="AB571" s="92">
        <f t="shared" si="611"/>
      </c>
      <c r="AC571" s="92">
        <f t="shared" si="611"/>
      </c>
      <c r="AD571" s="92">
        <f t="shared" si="611"/>
      </c>
      <c r="AE571" s="92">
        <f t="shared" si="611"/>
      </c>
      <c r="AF571" s="92">
        <f t="shared" si="611"/>
      </c>
      <c r="AG571" s="92">
        <f t="shared" si="611"/>
      </c>
      <c r="AH571" s="92">
        <f t="shared" si="611"/>
      </c>
    </row>
    <row r="575" spans="2:34" ht="18" x14ac:dyDescent="0.35">
      <c r="B575" s="148" t="str">
        <f>'Assumptions&amp;Scenario'!$K$10</f>
      </c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</row>
    <row r="576" spans="2:34" ht="18" thickBot="1" x14ac:dyDescent="0.35">
      <c r="B576" s="47" t="s">
        <v>329</v>
      </c>
      <c r="C576" s="48"/>
      <c r="D576" s="48"/>
      <c r="E576" s="48"/>
      <c r="F576" s="48"/>
      <c r="G576" s="48"/>
      <c r="H576" s="49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</row>
    <row r="577" spans="3:21" x14ac:dyDescent="0.3">
      <c r="C577" s="2"/>
      <c r="D577" s="2"/>
      <c r="E577" s="2"/>
      <c r="F577" s="2"/>
      <c r="L577" s="83"/>
      <c r="M577" s="83"/>
      <c r="N577" s="83"/>
      <c r="O577" s="83"/>
      <c r="P577" s="83"/>
      <c r="Q577" s="83"/>
      <c r="R577" s="83"/>
      <c r="S577" s="83"/>
      <c r="T577" s="83"/>
      <c r="U577" s="83"/>
    </row>
    <row r="578" spans="3:21" ht="15.6" x14ac:dyDescent="0.3">
      <c r="C578" s="43" t="s">
        <v>389</v>
      </c>
      <c r="D578" s="43"/>
      <c r="E578" s="43"/>
      <c r="F578" s="43"/>
      <c r="G578" s="43"/>
      <c r="H578" s="44"/>
      <c r="I578" s="44"/>
      <c r="J578" s="44" t="str">
        <f>"FY"&amp;TEXT(RIGHT(K578,2)-(COLUMN(K578)-COLUMN()),"00")</f>
      </c>
      <c r="K578" s="44" t="str">
        <f t="shared" ref="K578" si="612">"FY"&amp;TEXT(RIGHT(L578,2)-(COLUMN(L578)-COLUMN()),"00")</f>
      </c>
      <c r="L578" s="79" t="str">
        <f t="shared" ref="L578" si="613">"FY"&amp;TEXT(RIGHT(M578,2)-(COLUMN(M578)-COLUMN()),"00")</f>
      </c>
      <c r="M578" s="79" t="str">
        <f t="shared" ref="M578" si="614">"FY"&amp;TEXT(RIGHT(N578,2)-(COLUMN(N578)-COLUMN()),"00")</f>
      </c>
      <c r="N578" s="79" t="str">
        <f t="shared" ref="N578" si="615">"FY"&amp;TEXT(RIGHT(O578,2)-(COLUMN(O578)-COLUMN()),"00")</f>
      </c>
      <c r="O578" s="79" t="str">
        <f t="shared" ref="O578" si="616">"FY"&amp;TEXT(RIGHT(P578,2)-(COLUMN(P578)-COLUMN()),"00")</f>
      </c>
      <c r="P578" s="79" t="str">
        <f t="shared" ref="P578" si="617">"FY"&amp;TEXT(RIGHT(Q578,2)-(COLUMN(Q578)-COLUMN()),"00")</f>
      </c>
      <c r="Q578" s="79" t="str">
        <f t="shared" ref="Q578" si="618">"FY"&amp;TEXT(RIGHT(R578,2)-(COLUMN(R578)-COLUMN()),"00")</f>
      </c>
      <c r="R578" s="79" t="str">
        <f t="shared" ref="R578" si="619">"FY"&amp;TEXT(RIGHT(S578,2)-(COLUMN(S578)-COLUMN()),"00")</f>
      </c>
      <c r="S578" s="79" t="str">
        <f t="shared" ref="S578" si="620">"FY"&amp;TEXT(RIGHT(T578,2)-(COLUMN(T578)-COLUMN()),"00")</f>
      </c>
      <c r="T578" s="79" t="str">
        <f t="shared" ref="T578" si="621">"FY"&amp;TEXT(RIGHT(U578,2)-(COLUMN(U578)-COLUMN()),"00")</f>
      </c>
      <c r="U578" s="79" t="str">
        <f>"FY"&amp;TEXT(DATE(YEAR('Data Sheet'!$K$16)+(MONTH('Data Sheet'!$K$16)&gt;3),1,1),"YY")</f>
      </c>
    </row>
    <row r="579" spans="3:21" ht="3" customHeight="1" x14ac:dyDescent="0.3"/>
    <row r="580" spans="3:21" ht="3" customHeight="1" x14ac:dyDescent="0.3"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spans="3:21" ht="3" customHeight="1" x14ac:dyDescent="0.3"/>
    <row r="582" spans="3:21" ht="18" x14ac:dyDescent="0.35">
      <c r="C582" s="24" t="s">
        <v>383</v>
      </c>
    </row>
    <row r="583" spans="3:21" ht="3" customHeight="1" x14ac:dyDescent="0.3"/>
    <row r="584" spans="3:21" x14ac:dyDescent="0.3">
      <c r="C584" s="2" t="s">
        <v>330</v>
      </c>
      <c r="H584" s="225" t="s">
        <v>331</v>
      </c>
      <c r="J584" s="40">
        <f>DATE(RIGHT(J578, 2)+2000, 12, 31)-DATE(RIGHT(J578, 2)+1999, 12, 31)</f>
      </c>
      <c r="K584" s="40">
        <f t="shared" ref="K584:U584" si="622">DATE(RIGHT(K578, 2)+2000, 12, 31)-DATE(RIGHT(K578, 2)+1999, 12, 31)</f>
      </c>
      <c r="L584" s="40">
        <f t="shared" si="622"/>
      </c>
      <c r="M584" s="40">
        <f t="shared" si="622"/>
      </c>
      <c r="N584" s="40">
        <f t="shared" si="622"/>
      </c>
      <c r="O584" s="40">
        <f t="shared" si="622"/>
      </c>
      <c r="P584" s="40">
        <f t="shared" si="622"/>
      </c>
      <c r="Q584" s="40">
        <f t="shared" si="622"/>
      </c>
      <c r="R584" s="40">
        <f t="shared" si="622"/>
      </c>
      <c r="S584" s="40">
        <f t="shared" si="622"/>
      </c>
      <c r="T584" s="40">
        <f t="shared" si="622"/>
      </c>
      <c r="U584" s="40">
        <f t="shared" si="622"/>
      </c>
    </row>
    <row r="586" spans="3:21" x14ac:dyDescent="0.3">
      <c r="C586" s="2" t="s">
        <v>332</v>
      </c>
    </row>
    <row r="587" spans="3:21" x14ac:dyDescent="0.3">
      <c r="D587" t="s">
        <v>183</v>
      </c>
      <c r="H587" s="77" t="str">
        <f>$H$10</f>
      </c>
      <c r="J587" s="40">
        <f t="shared" ref="J587:U587" si="623">J325</f>
      </c>
      <c r="K587" s="40">
        <f t="shared" si="623"/>
      </c>
      <c r="L587" s="40">
        <f t="shared" si="623"/>
      </c>
      <c r="M587" s="40">
        <f t="shared" si="623"/>
      </c>
      <c r="N587" s="40">
        <f t="shared" si="623"/>
      </c>
      <c r="O587" s="40">
        <f t="shared" si="623"/>
      </c>
      <c r="P587" s="40">
        <f t="shared" si="623"/>
      </c>
      <c r="Q587" s="40">
        <f t="shared" si="623"/>
      </c>
      <c r="R587" s="40">
        <f t="shared" si="623"/>
      </c>
      <c r="S587" s="40">
        <f t="shared" si="623"/>
      </c>
      <c r="T587" s="40">
        <f t="shared" si="623"/>
      </c>
      <c r="U587" s="40">
        <f t="shared" si="623"/>
      </c>
    </row>
    <row r="588" spans="3:21" x14ac:dyDescent="0.3">
      <c r="D588" t="s">
        <v>333</v>
      </c>
      <c r="H588" s="77" t="str">
        <f>$H$10</f>
      </c>
      <c r="J588" s="40">
        <f t="shared" ref="J588:U588" si="624">J326</f>
      </c>
      <c r="K588" s="40">
        <f t="shared" si="624"/>
      </c>
      <c r="L588" s="40">
        <f t="shared" si="624"/>
      </c>
      <c r="M588" s="40">
        <f t="shared" si="624"/>
      </c>
      <c r="N588" s="40">
        <f t="shared" si="624"/>
      </c>
      <c r="O588" s="40">
        <f t="shared" si="624"/>
      </c>
      <c r="P588" s="40">
        <f t="shared" si="624"/>
      </c>
      <c r="Q588" s="40">
        <f t="shared" si="624"/>
      </c>
      <c r="R588" s="40">
        <f t="shared" si="624"/>
      </c>
      <c r="S588" s="40">
        <f t="shared" si="624"/>
      </c>
      <c r="T588" s="40">
        <f t="shared" si="624"/>
      </c>
      <c r="U588" s="40">
        <f t="shared" si="624"/>
      </c>
    </row>
    <row r="590" spans="3:21" x14ac:dyDescent="0.3">
      <c r="C590" s="2" t="s">
        <v>334</v>
      </c>
    </row>
    <row r="591" spans="3:21" x14ac:dyDescent="0.3">
      <c r="D591" t="s">
        <v>155</v>
      </c>
      <c r="H591" s="77" t="str">
        <f t="shared" ref="H591:H596" si="625">$H$10</f>
      </c>
      <c r="J591" s="40">
        <f t="shared" ref="J591:U591" si="626">J459</f>
      </c>
      <c r="K591" s="40">
        <f t="shared" si="626"/>
      </c>
      <c r="L591" s="40">
        <f t="shared" si="626"/>
      </c>
      <c r="M591" s="40">
        <f t="shared" si="626"/>
      </c>
      <c r="N591" s="40">
        <f t="shared" si="626"/>
      </c>
      <c r="O591" s="40">
        <f t="shared" si="626"/>
      </c>
      <c r="P591" s="40">
        <f t="shared" si="626"/>
      </c>
      <c r="Q591" s="40">
        <f t="shared" si="626"/>
      </c>
      <c r="R591" s="40">
        <f t="shared" si="626"/>
      </c>
      <c r="S591" s="40">
        <f t="shared" si="626"/>
      </c>
      <c r="T591" s="40">
        <f t="shared" si="626"/>
      </c>
      <c r="U591" s="40">
        <f t="shared" si="626"/>
      </c>
    </row>
    <row r="592" spans="3:21" x14ac:dyDescent="0.3">
      <c r="D592" t="s">
        <v>92</v>
      </c>
      <c r="H592" s="77" t="str">
        <f t="shared" si="625"/>
      </c>
      <c r="J592" s="40">
        <f t="shared" ref="J592:U592" si="627">J460</f>
      </c>
      <c r="K592" s="40">
        <f t="shared" si="627"/>
      </c>
      <c r="L592" s="40">
        <f t="shared" si="627"/>
      </c>
      <c r="M592" s="40">
        <f t="shared" si="627"/>
      </c>
      <c r="N592" s="40">
        <f t="shared" si="627"/>
      </c>
      <c r="O592" s="40">
        <f t="shared" si="627"/>
      </c>
      <c r="P592" s="40">
        <f t="shared" si="627"/>
      </c>
      <c r="Q592" s="40">
        <f t="shared" si="627"/>
      </c>
      <c r="R592" s="40">
        <f t="shared" si="627"/>
      </c>
      <c r="S592" s="40">
        <f t="shared" si="627"/>
      </c>
      <c r="T592" s="40">
        <f t="shared" si="627"/>
      </c>
      <c r="U592" s="40">
        <f t="shared" si="627"/>
      </c>
    </row>
    <row r="593" spans="3:34" x14ac:dyDescent="0.3">
      <c r="D593" t="s">
        <v>95</v>
      </c>
      <c r="H593" s="77" t="str">
        <f t="shared" si="625"/>
      </c>
      <c r="J593" s="40">
        <f t="shared" ref="J593:U593" si="628">J461</f>
      </c>
      <c r="K593" s="40">
        <f t="shared" si="628"/>
      </c>
      <c r="L593" s="40">
        <f t="shared" si="628"/>
      </c>
      <c r="M593" s="40">
        <f t="shared" si="628"/>
      </c>
      <c r="N593" s="40">
        <f t="shared" si="628"/>
      </c>
      <c r="O593" s="40">
        <f t="shared" si="628"/>
      </c>
      <c r="P593" s="40">
        <f t="shared" si="628"/>
      </c>
      <c r="Q593" s="40">
        <f t="shared" si="628"/>
      </c>
      <c r="R593" s="40">
        <f t="shared" si="628"/>
      </c>
      <c r="S593" s="40">
        <f t="shared" si="628"/>
      </c>
      <c r="T593" s="40">
        <f t="shared" si="628"/>
      </c>
      <c r="U593" s="40">
        <f t="shared" si="628"/>
      </c>
    </row>
    <row r="594" spans="3:34" x14ac:dyDescent="0.3">
      <c r="D594" t="s">
        <v>50</v>
      </c>
      <c r="H594" s="77" t="str">
        <f t="shared" si="625"/>
      </c>
      <c r="J594" s="40">
        <f t="shared" ref="J594:U594" si="629">J462</f>
      </c>
      <c r="K594" s="40">
        <f t="shared" si="629"/>
      </c>
      <c r="L594" s="40">
        <f t="shared" si="629"/>
      </c>
      <c r="M594" s="40">
        <f t="shared" si="629"/>
      </c>
      <c r="N594" s="40">
        <f t="shared" si="629"/>
      </c>
      <c r="O594" s="40">
        <f t="shared" si="629"/>
      </c>
      <c r="P594" s="40">
        <f t="shared" si="629"/>
      </c>
      <c r="Q594" s="40">
        <f t="shared" si="629"/>
      </c>
      <c r="R594" s="40">
        <f t="shared" si="629"/>
      </c>
      <c r="S594" s="40">
        <f t="shared" si="629"/>
      </c>
      <c r="T594" s="40">
        <f t="shared" si="629"/>
      </c>
      <c r="U594" s="40">
        <f t="shared" si="629"/>
      </c>
    </row>
    <row r="595" spans="3:34" x14ac:dyDescent="0.3">
      <c r="D595" t="s">
        <v>157</v>
      </c>
      <c r="H595" s="77" t="str">
        <f t="shared" si="625"/>
      </c>
      <c r="J595" s="40">
        <f t="shared" ref="J595:U595" si="630">J497</f>
      </c>
      <c r="K595" s="40">
        <f t="shared" si="630"/>
      </c>
      <c r="L595" s="40">
        <f t="shared" si="630"/>
      </c>
      <c r="M595" s="40">
        <f t="shared" si="630"/>
      </c>
      <c r="N595" s="40">
        <f t="shared" si="630"/>
      </c>
      <c r="O595" s="40">
        <f t="shared" si="630"/>
      </c>
      <c r="P595" s="40">
        <f t="shared" si="630"/>
      </c>
      <c r="Q595" s="40">
        <f t="shared" si="630"/>
      </c>
      <c r="R595" s="40">
        <f t="shared" si="630"/>
      </c>
      <c r="S595" s="40">
        <f t="shared" si="630"/>
      </c>
      <c r="T595" s="40">
        <f t="shared" si="630"/>
      </c>
      <c r="U595" s="40">
        <f t="shared" si="630"/>
      </c>
    </row>
    <row r="596" spans="3:34" x14ac:dyDescent="0.3">
      <c r="D596" t="s">
        <v>49</v>
      </c>
      <c r="H596" s="77" t="str">
        <f t="shared" si="625"/>
      </c>
      <c r="J596" s="40">
        <f t="shared" ref="J596:U596" si="631">J498</f>
      </c>
      <c r="K596" s="40">
        <f t="shared" si="631"/>
      </c>
      <c r="L596" s="40">
        <f t="shared" si="631"/>
      </c>
      <c r="M596" s="40">
        <f t="shared" si="631"/>
      </c>
      <c r="N596" s="40">
        <f t="shared" si="631"/>
      </c>
      <c r="O596" s="40">
        <f t="shared" si="631"/>
      </c>
      <c r="P596" s="40">
        <f t="shared" si="631"/>
      </c>
      <c r="Q596" s="40">
        <f t="shared" si="631"/>
      </c>
      <c r="R596" s="40">
        <f t="shared" si="631"/>
      </c>
      <c r="S596" s="40">
        <f t="shared" si="631"/>
      </c>
      <c r="T596" s="40">
        <f t="shared" si="631"/>
      </c>
      <c r="U596" s="40">
        <f t="shared" si="631"/>
      </c>
    </row>
    <row r="598" spans="3:34" x14ac:dyDescent="0.3">
      <c r="C598" s="2" t="s">
        <v>335</v>
      </c>
    </row>
    <row r="599" spans="3:34" x14ac:dyDescent="0.3">
      <c r="D599" t="s">
        <v>155</v>
      </c>
      <c r="H599" s="77" t="str">
        <f>$H$584</f>
      </c>
      <c r="J599" s="125">
        <f>IFERROR((J591/J587)*J$584, 0)</f>
      </c>
      <c r="K599" s="125">
        <f t="shared" ref="K599:U599" si="632">IFERROR((K591/K587)*K$584, 0)</f>
      </c>
      <c r="L599" s="125">
        <f t="shared" si="632"/>
      </c>
      <c r="M599" s="125">
        <f t="shared" si="632"/>
      </c>
      <c r="N599" s="125">
        <f t="shared" si="632"/>
      </c>
      <c r="O599" s="125">
        <f t="shared" si="632"/>
      </c>
      <c r="P599" s="125">
        <f t="shared" si="632"/>
      </c>
      <c r="Q599" s="125">
        <f t="shared" si="632"/>
      </c>
      <c r="R599" s="125">
        <f t="shared" si="632"/>
      </c>
      <c r="S599" s="125">
        <f t="shared" si="632"/>
      </c>
      <c r="T599" s="125">
        <f t="shared" si="632"/>
      </c>
      <c r="U599" s="125">
        <f t="shared" si="632"/>
      </c>
      <c r="Y599" s="71" cm="1">
        <f t="array" ref="Y599">IFERROR(_xlfn.FORECAST.LINEAR(RIGHT(Y$6,2), $L599:$U599, VALUE(RIGHT($L$6:$U$6,2))), 0)</f>
      </c>
      <c r="Z599" s="71" cm="1">
        <f t="array" ref="Z599">IFERROR(_xlfn.FORECAST.LINEAR(RIGHT(Z$6,2), $L599:$U599, VALUE(RIGHT($L$6:$U$6,2))), 0)</f>
      </c>
      <c r="AA599" s="71" cm="1">
        <f t="array" ref="AA599">IFERROR(_xlfn.FORECAST.LINEAR(RIGHT(AA$6,2), $L599:$U599, VALUE(RIGHT($L$6:$U$6,2))), 0)</f>
      </c>
      <c r="AB599" s="71" cm="1">
        <f t="array" ref="AB599">IFERROR(_xlfn.FORECAST.LINEAR(RIGHT(AB$6,2), $L599:$U599, VALUE(RIGHT($L$6:$U$6,2))), 0)</f>
      </c>
      <c r="AC599" s="71" cm="1">
        <f t="array" ref="AC599">IFERROR(_xlfn.FORECAST.LINEAR(RIGHT(AC$6,2), $L599:$U599, VALUE(RIGHT($L$6:$U$6,2))), 0)</f>
      </c>
      <c r="AD599" s="71" cm="1">
        <f t="array" ref="AD599">IFERROR(_xlfn.FORECAST.LINEAR(RIGHT(AD$6,2), $L599:$U599, VALUE(RIGHT($L$6:$U$6,2))), 0)</f>
      </c>
      <c r="AE599" s="71" cm="1">
        <f t="array" ref="AE599">IFERROR(_xlfn.FORECAST.LINEAR(RIGHT(AE$6,2), $L599:$U599, VALUE(RIGHT($L$6:$U$6,2))), 0)</f>
      </c>
      <c r="AF599" s="71" cm="1">
        <f t="array" ref="AF599">IFERROR(_xlfn.FORECAST.LINEAR(RIGHT(AF$6,2), $L599:$U599, VALUE(RIGHT($L$6:$U$6,2))), 0)</f>
      </c>
      <c r="AG599" s="71" cm="1">
        <f t="array" ref="AG599">IFERROR(_xlfn.FORECAST.LINEAR(RIGHT(AG$6,2), $L599:$U599, VALUE(RIGHT($L$6:$U$6,2))), 0)</f>
      </c>
      <c r="AH599" s="71" cm="1">
        <f t="array" ref="AH599">IFERROR(_xlfn.FORECAST.LINEAR(RIGHT(AH$6,2), $L599:$U599, VALUE(RIGHT($L$6:$U$6,2))), 0)</f>
      </c>
    </row>
    <row r="600" spans="3:34" x14ac:dyDescent="0.3">
      <c r="D600" t="s">
        <v>92</v>
      </c>
      <c r="H600" s="77" t="str">
        <f t="shared" ref="H600:H604" si="633">$H$584</f>
      </c>
      <c r="J600" s="125">
        <f>IFERROR((J592/J$588)*J$584, 0)</f>
      </c>
      <c r="K600" s="125">
        <f t="shared" ref="K600:U600" si="634">IFERROR((K592/K$588)*K$584, 0)</f>
      </c>
      <c r="L600" s="125">
        <f t="shared" si="634"/>
      </c>
      <c r="M600" s="125">
        <f t="shared" si="634"/>
      </c>
      <c r="N600" s="125">
        <f t="shared" si="634"/>
      </c>
      <c r="O600" s="125">
        <f t="shared" si="634"/>
      </c>
      <c r="P600" s="125">
        <f t="shared" si="634"/>
      </c>
      <c r="Q600" s="125">
        <f t="shared" si="634"/>
      </c>
      <c r="R600" s="125">
        <f t="shared" si="634"/>
      </c>
      <c r="S600" s="125">
        <f t="shared" si="634"/>
      </c>
      <c r="T600" s="125">
        <f t="shared" si="634"/>
      </c>
      <c r="U600" s="125">
        <f t="shared" si="634"/>
      </c>
      <c r="Y600" s="71" cm="1">
        <f t="array" ref="Y600">IFERROR(_xlfn.FORECAST.LINEAR(RIGHT(Y$6,2), $L600:$U600, VALUE(RIGHT($L$6:$U$6,2))), 0)</f>
      </c>
      <c r="Z600" s="71" cm="1">
        <f t="array" ref="Z600">IFERROR(_xlfn.FORECAST.LINEAR(RIGHT(Z$6,2), $L600:$U600, VALUE(RIGHT($L$6:$U$6,2))), 0)</f>
      </c>
      <c r="AA600" s="71" cm="1">
        <f t="array" ref="AA600">IFERROR(_xlfn.FORECAST.LINEAR(RIGHT(AA$6,2), $L600:$U600, VALUE(RIGHT($L$6:$U$6,2))), 0)</f>
      </c>
      <c r="AB600" s="71" cm="1">
        <f t="array" ref="AB600">IFERROR(_xlfn.FORECAST.LINEAR(RIGHT(AB$6,2), $L600:$U600, VALUE(RIGHT($L$6:$U$6,2))), 0)</f>
      </c>
      <c r="AC600" s="71" cm="1">
        <f t="array" ref="AC600">IFERROR(_xlfn.FORECAST.LINEAR(RIGHT(AC$6,2), $L600:$U600, VALUE(RIGHT($L$6:$U$6,2))), 0)</f>
      </c>
      <c r="AD600" s="71" cm="1">
        <f t="array" ref="AD600">IFERROR(_xlfn.FORECAST.LINEAR(RIGHT(AD$6,2), $L600:$U600, VALUE(RIGHT($L$6:$U$6,2))), 0)</f>
      </c>
      <c r="AE600" s="71" cm="1">
        <f t="array" ref="AE600">IFERROR(_xlfn.FORECAST.LINEAR(RIGHT(AE$6,2), $L600:$U600, VALUE(RIGHT($L$6:$U$6,2))), 0)</f>
      </c>
      <c r="AF600" s="71" cm="1">
        <f t="array" ref="AF600">IFERROR(_xlfn.FORECAST.LINEAR(RIGHT(AF$6,2), $L600:$U600, VALUE(RIGHT($L$6:$U$6,2))), 0)</f>
      </c>
      <c r="AG600" s="71" cm="1">
        <f t="array" ref="AG600">IFERROR(_xlfn.FORECAST.LINEAR(RIGHT(AG$6,2), $L600:$U600, VALUE(RIGHT($L$6:$U$6,2))), 0)</f>
      </c>
      <c r="AH600" s="71" cm="1">
        <f t="array" ref="AH600">IFERROR(_xlfn.FORECAST.LINEAR(RIGHT(AH$6,2), $L600:$U600, VALUE(RIGHT($L$6:$U$6,2))), 0)</f>
      </c>
    </row>
    <row r="601" spans="3:34" x14ac:dyDescent="0.3">
      <c r="D601" t="s">
        <v>95</v>
      </c>
      <c r="H601" s="77" t="str">
        <f t="shared" si="633"/>
      </c>
      <c r="J601" s="125">
        <f>IFERROR((J593/J$588)*J$584, 0)</f>
      </c>
      <c r="K601" s="125">
        <f t="shared" ref="K601:U601" si="635">IFERROR((K593/K$588)*K$584, 0)</f>
      </c>
      <c r="L601" s="125">
        <f t="shared" si="635"/>
      </c>
      <c r="M601" s="125">
        <f t="shared" si="635"/>
      </c>
      <c r="N601" s="125">
        <f t="shared" si="635"/>
      </c>
      <c r="O601" s="125">
        <f t="shared" si="635"/>
      </c>
      <c r="P601" s="125">
        <f t="shared" si="635"/>
      </c>
      <c r="Q601" s="125">
        <f t="shared" si="635"/>
      </c>
      <c r="R601" s="125">
        <f t="shared" si="635"/>
      </c>
      <c r="S601" s="125">
        <f t="shared" si="635"/>
      </c>
      <c r="T601" s="125">
        <f t="shared" si="635"/>
      </c>
      <c r="U601" s="125">
        <f t="shared" si="635"/>
      </c>
      <c r="Y601" s="71" cm="1">
        <f t="array" ref="Y601">IFERROR(_xlfn.FORECAST.LINEAR(RIGHT(Y$6,2), $L601:$U601, VALUE(RIGHT($L$6:$U$6,2))), 0)</f>
      </c>
      <c r="Z601" s="71" cm="1">
        <f t="array" ref="Z601">IFERROR(_xlfn.FORECAST.LINEAR(RIGHT(Z$6,2), $L601:$U601, VALUE(RIGHT($L$6:$U$6,2))), 0)</f>
      </c>
      <c r="AA601" s="71" cm="1">
        <f t="array" ref="AA601">IFERROR(_xlfn.FORECAST.LINEAR(RIGHT(AA$6,2), $L601:$U601, VALUE(RIGHT($L$6:$U$6,2))), 0)</f>
      </c>
      <c r="AB601" s="71" cm="1">
        <f t="array" ref="AB601">IFERROR(_xlfn.FORECAST.LINEAR(RIGHT(AB$6,2), $L601:$U601, VALUE(RIGHT($L$6:$U$6,2))), 0)</f>
      </c>
      <c r="AC601" s="71" cm="1">
        <f t="array" ref="AC601">IFERROR(_xlfn.FORECAST.LINEAR(RIGHT(AC$6,2), $L601:$U601, VALUE(RIGHT($L$6:$U$6,2))), 0)</f>
      </c>
      <c r="AD601" s="71" cm="1">
        <f t="array" ref="AD601">IFERROR(_xlfn.FORECAST.LINEAR(RIGHT(AD$6,2), $L601:$U601, VALUE(RIGHT($L$6:$U$6,2))), 0)</f>
      </c>
      <c r="AE601" s="71" cm="1">
        <f t="array" ref="AE601">IFERROR(_xlfn.FORECAST.LINEAR(RIGHT(AE$6,2), $L601:$U601, VALUE(RIGHT($L$6:$U$6,2))), 0)</f>
      </c>
      <c r="AF601" s="71" cm="1">
        <f t="array" ref="AF601">IFERROR(_xlfn.FORECAST.LINEAR(RIGHT(AF$6,2), $L601:$U601, VALUE(RIGHT($L$6:$U$6,2))), 0)</f>
      </c>
      <c r="AG601" s="71" cm="1">
        <f t="array" ref="AG601">IFERROR(_xlfn.FORECAST.LINEAR(RIGHT(AG$6,2), $L601:$U601, VALUE(RIGHT($L$6:$U$6,2))), 0)</f>
      </c>
      <c r="AH601" s="71" cm="1">
        <f t="array" ref="AH601">IFERROR(_xlfn.FORECAST.LINEAR(RIGHT(AH$6,2), $L601:$U601, VALUE(RIGHT($L$6:$U$6,2))), 0)</f>
      </c>
    </row>
    <row r="602" spans="3:34" x14ac:dyDescent="0.3">
      <c r="D602" t="s">
        <v>50</v>
      </c>
      <c r="H602" s="77" t="str">
        <f t="shared" si="633"/>
      </c>
      <c r="J602" s="125">
        <f>IFERROR((J594/J$588)*J$584, 0)</f>
      </c>
      <c r="K602" s="125">
        <f t="shared" ref="K602:U602" si="636">IFERROR((K594/K$588)*K$584, 0)</f>
      </c>
      <c r="L602" s="125">
        <f t="shared" si="636"/>
      </c>
      <c r="M602" s="125">
        <f t="shared" si="636"/>
      </c>
      <c r="N602" s="125">
        <f t="shared" si="636"/>
      </c>
      <c r="O602" s="125">
        <f t="shared" si="636"/>
      </c>
      <c r="P602" s="125">
        <f t="shared" si="636"/>
      </c>
      <c r="Q602" s="125">
        <f t="shared" si="636"/>
      </c>
      <c r="R602" s="125">
        <f t="shared" si="636"/>
      </c>
      <c r="S602" s="125">
        <f t="shared" si="636"/>
      </c>
      <c r="T602" s="125">
        <f t="shared" si="636"/>
      </c>
      <c r="U602" s="125">
        <f t="shared" si="636"/>
      </c>
      <c r="Y602" s="71" cm="1">
        <f t="array" ref="Y602">IFERROR(_xlfn.FORECAST.LINEAR(RIGHT(Y$6,2), $L602:$U602, VALUE(RIGHT($L$6:$U$6,2))), 0)</f>
      </c>
      <c r="Z602" s="71" cm="1">
        <f t="array" ref="Z602">IFERROR(_xlfn.FORECAST.LINEAR(RIGHT(Z$6,2), $L602:$U602, VALUE(RIGHT($L$6:$U$6,2))), 0)</f>
      </c>
      <c r="AA602" s="71" cm="1">
        <f t="array" ref="AA602">IFERROR(_xlfn.FORECAST.LINEAR(RIGHT(AA$6,2), $L602:$U602, VALUE(RIGHT($L$6:$U$6,2))), 0)</f>
      </c>
      <c r="AB602" s="71" cm="1">
        <f t="array" ref="AB602">IFERROR(_xlfn.FORECAST.LINEAR(RIGHT(AB$6,2), $L602:$U602, VALUE(RIGHT($L$6:$U$6,2))), 0)</f>
      </c>
      <c r="AC602" s="71" cm="1">
        <f t="array" ref="AC602">IFERROR(_xlfn.FORECAST.LINEAR(RIGHT(AC$6,2), $L602:$U602, VALUE(RIGHT($L$6:$U$6,2))), 0)</f>
      </c>
      <c r="AD602" s="71" cm="1">
        <f t="array" ref="AD602">IFERROR(_xlfn.FORECAST.LINEAR(RIGHT(AD$6,2), $L602:$U602, VALUE(RIGHT($L$6:$U$6,2))), 0)</f>
      </c>
      <c r="AE602" s="71" cm="1">
        <f t="array" ref="AE602">IFERROR(_xlfn.FORECAST.LINEAR(RIGHT(AE$6,2), $L602:$U602, VALUE(RIGHT($L$6:$U$6,2))), 0)</f>
      </c>
      <c r="AF602" s="71" cm="1">
        <f t="array" ref="AF602">IFERROR(_xlfn.FORECAST.LINEAR(RIGHT(AF$6,2), $L602:$U602, VALUE(RIGHT($L$6:$U$6,2))), 0)</f>
      </c>
      <c r="AG602" s="71" cm="1">
        <f t="array" ref="AG602">IFERROR(_xlfn.FORECAST.LINEAR(RIGHT(AG$6,2), $L602:$U602, VALUE(RIGHT($L$6:$U$6,2))), 0)</f>
      </c>
      <c r="AH602" s="71" cm="1">
        <f t="array" ref="AH602">IFERROR(_xlfn.FORECAST.LINEAR(RIGHT(AH$6,2), $L602:$U602, VALUE(RIGHT($L$6:$U$6,2))), 0)</f>
      </c>
    </row>
    <row r="603" spans="3:34" x14ac:dyDescent="0.3">
      <c r="D603" t="s">
        <v>157</v>
      </c>
      <c r="H603" s="77" t="str">
        <f t="shared" si="633"/>
      </c>
      <c r="J603" s="125">
        <f>IFERROR((J595/J$588)*J$584, 0)</f>
      </c>
      <c r="K603" s="125">
        <f t="shared" ref="K603:U603" si="637">IFERROR((K595/K$588)*K$584, 0)</f>
      </c>
      <c r="L603" s="125">
        <f t="shared" si="637"/>
      </c>
      <c r="M603" s="125">
        <f t="shared" si="637"/>
      </c>
      <c r="N603" s="125">
        <f t="shared" si="637"/>
      </c>
      <c r="O603" s="125">
        <f t="shared" si="637"/>
      </c>
      <c r="P603" s="125">
        <f t="shared" si="637"/>
      </c>
      <c r="Q603" s="125">
        <f t="shared" si="637"/>
      </c>
      <c r="R603" s="125">
        <f t="shared" si="637"/>
      </c>
      <c r="S603" s="125">
        <f t="shared" si="637"/>
      </c>
      <c r="T603" s="125">
        <f t="shared" si="637"/>
      </c>
      <c r="U603" s="125">
        <f t="shared" si="637"/>
      </c>
      <c r="Y603" s="71" cm="1">
        <f t="array" ref="Y603">IFERROR(_xlfn.FORECAST.LINEAR(RIGHT(Y$6,2), $L603:$U603, VALUE(RIGHT($L$6:$U$6,2))), 0)</f>
      </c>
      <c r="Z603" s="71" cm="1">
        <f t="array" ref="Z603">IFERROR(_xlfn.FORECAST.LINEAR(RIGHT(Z$6,2), $L603:$U603, VALUE(RIGHT($L$6:$U$6,2))), 0)</f>
      </c>
      <c r="AA603" s="71" cm="1">
        <f t="array" ref="AA603">IFERROR(_xlfn.FORECAST.LINEAR(RIGHT(AA$6,2), $L603:$U603, VALUE(RIGHT($L$6:$U$6,2))), 0)</f>
      </c>
      <c r="AB603" s="71" cm="1">
        <f t="array" ref="AB603">IFERROR(_xlfn.FORECAST.LINEAR(RIGHT(AB$6,2), $L603:$U603, VALUE(RIGHT($L$6:$U$6,2))), 0)</f>
      </c>
      <c r="AC603" s="71" cm="1">
        <f t="array" ref="AC603">IFERROR(_xlfn.FORECAST.LINEAR(RIGHT(AC$6,2), $L603:$U603, VALUE(RIGHT($L$6:$U$6,2))), 0)</f>
      </c>
      <c r="AD603" s="71" cm="1">
        <f t="array" ref="AD603">IFERROR(_xlfn.FORECAST.LINEAR(RIGHT(AD$6,2), $L603:$U603, VALUE(RIGHT($L$6:$U$6,2))), 0)</f>
      </c>
      <c r="AE603" s="71" cm="1">
        <f t="array" ref="AE603">IFERROR(_xlfn.FORECAST.LINEAR(RIGHT(AE$6,2), $L603:$U603, VALUE(RIGHT($L$6:$U$6,2))), 0)</f>
      </c>
      <c r="AF603" s="71" cm="1">
        <f t="array" ref="AF603">IFERROR(_xlfn.FORECAST.LINEAR(RIGHT(AF$6,2), $L603:$U603, VALUE(RIGHT($L$6:$U$6,2))), 0)</f>
      </c>
      <c r="AG603" s="71" cm="1">
        <f t="array" ref="AG603">IFERROR(_xlfn.FORECAST.LINEAR(RIGHT(AG$6,2), $L603:$U603, VALUE(RIGHT($L$6:$U$6,2))), 0)</f>
      </c>
      <c r="AH603" s="71" cm="1">
        <f t="array" ref="AH603">IFERROR(_xlfn.FORECAST.LINEAR(RIGHT(AH$6,2), $L603:$U603, VALUE(RIGHT($L$6:$U$6,2))), 0)</f>
      </c>
    </row>
    <row r="604" spans="3:34" x14ac:dyDescent="0.3">
      <c r="D604" t="s">
        <v>49</v>
      </c>
      <c r="H604" s="77" t="str">
        <f t="shared" si="633"/>
      </c>
      <c r="J604" s="125">
        <f>IFERROR((J596/J$588)*J$584, 0)</f>
      </c>
      <c r="K604" s="125">
        <f t="shared" ref="K604:U604" si="638">IFERROR((K596/K$588)*K$584, 0)</f>
      </c>
      <c r="L604" s="125">
        <f t="shared" si="638"/>
      </c>
      <c r="M604" s="125">
        <f t="shared" si="638"/>
      </c>
      <c r="N604" s="125">
        <f t="shared" si="638"/>
      </c>
      <c r="O604" s="125">
        <f t="shared" si="638"/>
      </c>
      <c r="P604" s="125">
        <f t="shared" si="638"/>
      </c>
      <c r="Q604" s="125">
        <f t="shared" si="638"/>
      </c>
      <c r="R604" s="125">
        <f t="shared" si="638"/>
      </c>
      <c r="S604" s="125">
        <f t="shared" si="638"/>
      </c>
      <c r="T604" s="125">
        <f t="shared" si="638"/>
      </c>
      <c r="U604" s="125">
        <f t="shared" si="638"/>
      </c>
      <c r="Y604" s="71" cm="1">
        <f t="array" ref="Y604">IFERROR(_xlfn.FORECAST.LINEAR(RIGHT(Y$6,2), $L604:$U604, VALUE(RIGHT($L$6:$U$6,2))), 0)</f>
      </c>
      <c r="Z604" s="71" cm="1">
        <f t="array" ref="Z604">IFERROR(_xlfn.FORECAST.LINEAR(RIGHT(Z$6,2), $L604:$U604, VALUE(RIGHT($L$6:$U$6,2))), 0)</f>
      </c>
      <c r="AA604" s="71" cm="1">
        <f t="array" ref="AA604">IFERROR(_xlfn.FORECAST.LINEAR(RIGHT(AA$6,2), $L604:$U604, VALUE(RIGHT($L$6:$U$6,2))), 0)</f>
      </c>
      <c r="AB604" s="71" cm="1">
        <f t="array" ref="AB604">IFERROR(_xlfn.FORECAST.LINEAR(RIGHT(AB$6,2), $L604:$U604, VALUE(RIGHT($L$6:$U$6,2))), 0)</f>
      </c>
      <c r="AC604" s="71" cm="1">
        <f t="array" ref="AC604">IFERROR(_xlfn.FORECAST.LINEAR(RIGHT(AC$6,2), $L604:$U604, VALUE(RIGHT($L$6:$U$6,2))), 0)</f>
      </c>
      <c r="AD604" s="71" cm="1">
        <f t="array" ref="AD604">IFERROR(_xlfn.FORECAST.LINEAR(RIGHT(AD$6,2), $L604:$U604, VALUE(RIGHT($L$6:$U$6,2))), 0)</f>
      </c>
      <c r="AE604" s="71" cm="1">
        <f t="array" ref="AE604">IFERROR(_xlfn.FORECAST.LINEAR(RIGHT(AE$6,2), $L604:$U604, VALUE(RIGHT($L$6:$U$6,2))), 0)</f>
      </c>
      <c r="AF604" s="71" cm="1">
        <f t="array" ref="AF604">IFERROR(_xlfn.FORECAST.LINEAR(RIGHT(AF$6,2), $L604:$U604, VALUE(RIGHT($L$6:$U$6,2))), 0)</f>
      </c>
      <c r="AG604" s="71" cm="1">
        <f t="array" ref="AG604">IFERROR(_xlfn.FORECAST.LINEAR(RIGHT(AG$6,2), $L604:$U604, VALUE(RIGHT($L$6:$U$6,2))), 0)</f>
      </c>
      <c r="AH604" s="71" cm="1">
        <f t="array" ref="AH604">IFERROR(_xlfn.FORECAST.LINEAR(RIGHT(AH$6,2), $L604:$U604, VALUE(RIGHT($L$6:$U$6,2))), 0)</f>
      </c>
    </row>
    <row r="606" spans="3:34" x14ac:dyDescent="0.3">
      <c r="D606" s="2" t="s">
        <v>336</v>
      </c>
      <c r="H606" s="77" t="str">
        <f>$H$584</f>
      </c>
      <c r="J606" s="40">
        <f>SUM(J591:J594)-SUM(J595:J596)</f>
      </c>
      <c r="K606" s="40">
        <f t="shared" ref="K606:U606" si="639">SUM(K591:K594)-SUM(K595:K596)</f>
      </c>
      <c r="L606" s="40">
        <f t="shared" si="639"/>
      </c>
      <c r="M606" s="40">
        <f t="shared" si="639"/>
      </c>
      <c r="N606" s="40">
        <f t="shared" si="639"/>
      </c>
      <c r="O606" s="40">
        <f t="shared" si="639"/>
      </c>
      <c r="P606" s="40">
        <f t="shared" si="639"/>
      </c>
      <c r="Q606" s="40">
        <f t="shared" si="639"/>
      </c>
      <c r="R606" s="40">
        <f t="shared" si="639"/>
      </c>
      <c r="S606" s="40">
        <f t="shared" si="639"/>
      </c>
      <c r="T606" s="40">
        <f t="shared" si="639"/>
      </c>
      <c r="U606" s="40">
        <f t="shared" si="639"/>
      </c>
    </row>
    <row r="608" spans="3:34" ht="15" thickBot="1" x14ac:dyDescent="0.35">
      <c r="C608" s="2" t="s">
        <v>317</v>
      </c>
      <c r="H608" s="77" t="str">
        <f>$H$10</f>
      </c>
      <c r="J608" s="104"/>
      <c r="K608" s="104">
        <f>-(K606-J606)</f>
      </c>
      <c r="L608" s="104">
        <f t="shared" ref="L608:U608" si="640">-(L606-K606)</f>
      </c>
      <c r="M608" s="104">
        <f t="shared" si="640"/>
      </c>
      <c r="N608" s="104">
        <f t="shared" si="640"/>
      </c>
      <c r="O608" s="104">
        <f t="shared" si="640"/>
      </c>
      <c r="P608" s="104">
        <f t="shared" si="640"/>
      </c>
      <c r="Q608" s="104">
        <f t="shared" si="640"/>
      </c>
      <c r="R608" s="104">
        <f t="shared" si="640"/>
      </c>
      <c r="S608" s="104">
        <f t="shared" si="640"/>
      </c>
      <c r="T608" s="104">
        <f t="shared" si="640"/>
      </c>
      <c r="U608" s="104">
        <f t="shared" si="640"/>
      </c>
    </row>
    <row r="609" spans="2:22" ht="15" thickTop="1" x14ac:dyDescent="0.3"/>
    <row r="612" spans="2:22" ht="18" x14ac:dyDescent="0.35">
      <c r="B612" s="148" t="str">
        <f>'Assumptions&amp;Scenario'!$K$10</f>
      </c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</row>
    <row r="613" spans="2:22" ht="18" thickBot="1" x14ac:dyDescent="0.35">
      <c r="B613" s="47" t="s">
        <v>337</v>
      </c>
      <c r="C613" s="48"/>
      <c r="D613" s="48"/>
      <c r="E613" s="48"/>
      <c r="F613" s="48"/>
      <c r="G613" s="48"/>
      <c r="H613" s="49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</row>
    <row r="614" spans="2:22" x14ac:dyDescent="0.3">
      <c r="C614" s="2"/>
      <c r="D614" s="2"/>
      <c r="E614" s="2"/>
      <c r="F614" s="2"/>
      <c r="L614" s="83"/>
      <c r="M614" s="83"/>
      <c r="N614" s="83"/>
      <c r="O614" s="83"/>
      <c r="P614" s="83"/>
      <c r="Q614" s="83"/>
      <c r="R614" s="83"/>
      <c r="S614" s="83"/>
      <c r="T614" s="83"/>
      <c r="U614" s="83"/>
    </row>
    <row r="615" spans="2:22" ht="15.6" x14ac:dyDescent="0.3">
      <c r="C615" s="43" t="s">
        <v>389</v>
      </c>
      <c r="D615" s="43"/>
      <c r="E615" s="43"/>
      <c r="F615" s="43"/>
      <c r="G615" s="43"/>
      <c r="H615" s="44"/>
      <c r="I615" s="44"/>
      <c r="J615" s="44" t="str">
        <f>"FY"&amp;TEXT(RIGHT(K615,2)-(COLUMN(K615)-COLUMN()),"00")</f>
      </c>
      <c r="K615" s="44" t="str">
        <f t="shared" ref="K615" si="641">"FY"&amp;TEXT(RIGHT(L615,2)-(COLUMN(L615)-COLUMN()),"00")</f>
      </c>
      <c r="L615" s="79" t="str">
        <f t="shared" ref="L615" si="642">"FY"&amp;TEXT(RIGHT(M615,2)-(COLUMN(M615)-COLUMN()),"00")</f>
      </c>
      <c r="M615" s="79" t="str">
        <f t="shared" ref="M615" si="643">"FY"&amp;TEXT(RIGHT(N615,2)-(COLUMN(N615)-COLUMN()),"00")</f>
      </c>
      <c r="N615" s="79" t="str">
        <f t="shared" ref="N615" si="644">"FY"&amp;TEXT(RIGHT(O615,2)-(COLUMN(O615)-COLUMN()),"00")</f>
      </c>
      <c r="O615" s="79" t="str">
        <f t="shared" ref="O615" si="645">"FY"&amp;TEXT(RIGHT(P615,2)-(COLUMN(P615)-COLUMN()),"00")</f>
      </c>
      <c r="P615" s="79" t="str">
        <f t="shared" ref="P615" si="646">"FY"&amp;TEXT(RIGHT(Q615,2)-(COLUMN(Q615)-COLUMN()),"00")</f>
      </c>
      <c r="Q615" s="79" t="str">
        <f t="shared" ref="Q615" si="647">"FY"&amp;TEXT(RIGHT(R615,2)-(COLUMN(R615)-COLUMN()),"00")</f>
      </c>
      <c r="R615" s="79" t="str">
        <f t="shared" ref="R615" si="648">"FY"&amp;TEXT(RIGHT(S615,2)-(COLUMN(S615)-COLUMN()),"00")</f>
      </c>
      <c r="S615" s="79" t="str">
        <f t="shared" ref="S615" si="649">"FY"&amp;TEXT(RIGHT(T615,2)-(COLUMN(T615)-COLUMN()),"00")</f>
      </c>
      <c r="T615" s="79" t="str">
        <f t="shared" ref="T615" si="650">"FY"&amp;TEXT(RIGHT(U615,2)-(COLUMN(U615)-COLUMN()),"00")</f>
      </c>
      <c r="U615" s="79" t="str">
        <f>"FY"&amp;TEXT(DATE(YEAR('Data Sheet'!$K$16)+(MONTH('Data Sheet'!$K$16)&gt;3),1,1),"YY")</f>
      </c>
    </row>
    <row r="616" spans="2:22" ht="3" customHeight="1" x14ac:dyDescent="0.3"/>
    <row r="617" spans="2:22" ht="3" customHeight="1" x14ac:dyDescent="0.3"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spans="2:22" ht="3" customHeight="1" x14ac:dyDescent="0.3"/>
    <row r="619" spans="2:22" ht="18" x14ac:dyDescent="0.35">
      <c r="C619" s="24" t="s">
        <v>384</v>
      </c>
      <c r="H619" s="77" t="str">
        <f>$H$10</f>
      </c>
    </row>
    <row r="620" spans="2:22" ht="3" customHeight="1" x14ac:dyDescent="0.3"/>
    <row r="621" spans="2:22" x14ac:dyDescent="0.3">
      <c r="C621" s="2" t="s">
        <v>4</v>
      </c>
      <c r="J621" s="40">
        <f t="shared" ref="J621:U621" si="651">J327</f>
      </c>
      <c r="K621" s="40">
        <f t="shared" si="651"/>
      </c>
      <c r="L621" s="40">
        <f t="shared" si="651"/>
      </c>
      <c r="M621" s="40">
        <f t="shared" si="651"/>
      </c>
      <c r="N621" s="40">
        <f t="shared" si="651"/>
      </c>
      <c r="O621" s="40">
        <f t="shared" si="651"/>
      </c>
      <c r="P621" s="40">
        <f t="shared" si="651"/>
      </c>
      <c r="Q621" s="40">
        <f t="shared" si="651"/>
      </c>
      <c r="R621" s="40">
        <f t="shared" si="651"/>
      </c>
      <c r="S621" s="40">
        <f t="shared" si="651"/>
      </c>
      <c r="T621" s="40">
        <f t="shared" si="651"/>
      </c>
      <c r="U621" s="40">
        <f t="shared" si="651"/>
      </c>
    </row>
    <row r="622" spans="2:22" x14ac:dyDescent="0.3">
      <c r="C622" t="s">
        <v>338</v>
      </c>
    </row>
    <row r="623" spans="2:22" x14ac:dyDescent="0.3">
      <c r="D623" t="s">
        <v>270</v>
      </c>
      <c r="J623" s="40">
        <f t="shared" ref="J623:U623" si="652">J453</f>
      </c>
      <c r="K623" s="40">
        <f t="shared" si="652"/>
      </c>
      <c r="L623" s="40">
        <f t="shared" si="652"/>
      </c>
      <c r="M623" s="40">
        <f t="shared" si="652"/>
      </c>
      <c r="N623" s="40">
        <f t="shared" si="652"/>
      </c>
      <c r="O623" s="40">
        <f t="shared" si="652"/>
      </c>
      <c r="P623" s="40">
        <f t="shared" si="652"/>
      </c>
      <c r="Q623" s="40">
        <f t="shared" si="652"/>
      </c>
      <c r="R623" s="40">
        <f t="shared" si="652"/>
      </c>
      <c r="S623" s="40">
        <f t="shared" si="652"/>
      </c>
      <c r="T623" s="40">
        <f t="shared" si="652"/>
      </c>
      <c r="U623" s="40">
        <f t="shared" si="652"/>
      </c>
    </row>
    <row r="624" spans="2:22" x14ac:dyDescent="0.3">
      <c r="D624" t="s">
        <v>339</v>
      </c>
      <c r="J624" s="40">
        <f t="shared" ref="J624:U624" si="653">J454</f>
      </c>
      <c r="K624" s="40">
        <f t="shared" si="653"/>
      </c>
      <c r="L624" s="40">
        <f t="shared" si="653"/>
      </c>
      <c r="M624" s="40">
        <f t="shared" si="653"/>
      </c>
      <c r="N624" s="40">
        <f t="shared" si="653"/>
      </c>
      <c r="O624" s="40">
        <f t="shared" si="653"/>
      </c>
      <c r="P624" s="40">
        <f t="shared" si="653"/>
      </c>
      <c r="Q624" s="40">
        <f t="shared" si="653"/>
      </c>
      <c r="R624" s="40">
        <f t="shared" si="653"/>
      </c>
      <c r="S624" s="40">
        <f t="shared" si="653"/>
      </c>
      <c r="T624" s="40">
        <f t="shared" si="653"/>
      </c>
      <c r="U624" s="40">
        <f t="shared" si="653"/>
      </c>
    </row>
    <row r="625" spans="3:21" x14ac:dyDescent="0.3">
      <c r="C625" t="s">
        <v>340</v>
      </c>
      <c r="J625" s="40">
        <f t="shared" ref="J625:U625" si="654">J471</f>
      </c>
      <c r="K625" s="40">
        <f t="shared" si="654"/>
      </c>
      <c r="L625" s="40">
        <f t="shared" si="654"/>
      </c>
      <c r="M625" s="40">
        <f t="shared" si="654"/>
      </c>
      <c r="N625" s="40">
        <f t="shared" si="654"/>
      </c>
      <c r="O625" s="40">
        <f t="shared" si="654"/>
      </c>
      <c r="P625" s="40">
        <f t="shared" si="654"/>
      </c>
      <c r="Q625" s="40">
        <f t="shared" si="654"/>
      </c>
      <c r="R625" s="40">
        <f t="shared" si="654"/>
      </c>
      <c r="S625" s="40">
        <f t="shared" si="654"/>
      </c>
      <c r="T625" s="40">
        <f t="shared" si="654"/>
      </c>
      <c r="U625" s="40">
        <f t="shared" si="654"/>
      </c>
    </row>
    <row r="626" spans="3:21" x14ac:dyDescent="0.3">
      <c r="C626" t="s">
        <v>341</v>
      </c>
      <c r="J626" s="126">
        <f>SUM(J623:J625)</f>
      </c>
      <c r="K626" s="126">
        <f t="shared" ref="K626:U626" si="655">SUM(K623:K625)</f>
      </c>
      <c r="L626" s="126">
        <f t="shared" si="655"/>
      </c>
      <c r="M626" s="126">
        <f t="shared" si="655"/>
      </c>
      <c r="N626" s="126">
        <f t="shared" si="655"/>
      </c>
      <c r="O626" s="126">
        <f t="shared" si="655"/>
      </c>
      <c r="P626" s="126">
        <f t="shared" si="655"/>
      </c>
      <c r="Q626" s="126">
        <f t="shared" si="655"/>
      </c>
      <c r="R626" s="126">
        <f t="shared" si="655"/>
      </c>
      <c r="S626" s="126">
        <f t="shared" si="655"/>
      </c>
      <c r="T626" s="126">
        <f t="shared" si="655"/>
      </c>
      <c r="U626" s="126">
        <f t="shared" si="655"/>
      </c>
    </row>
    <row r="627" spans="3:21" x14ac:dyDescent="0.3">
      <c r="C627" s="2" t="s">
        <v>342</v>
      </c>
      <c r="J627" s="91"/>
      <c r="K627" s="91">
        <f>AVERAGE(J626:K626)</f>
      </c>
      <c r="L627" s="91">
        <f t="shared" ref="L627:U627" si="656">AVERAGE(K626:L626)</f>
      </c>
      <c r="M627" s="91">
        <f t="shared" si="656"/>
      </c>
      <c r="N627" s="91">
        <f t="shared" si="656"/>
      </c>
      <c r="O627" s="91">
        <f t="shared" si="656"/>
      </c>
      <c r="P627" s="91">
        <f t="shared" si="656"/>
      </c>
      <c r="Q627" s="91">
        <f t="shared" si="656"/>
      </c>
      <c r="R627" s="91">
        <f t="shared" si="656"/>
      </c>
      <c r="S627" s="91">
        <f t="shared" si="656"/>
      </c>
      <c r="T627" s="91">
        <f t="shared" si="656"/>
      </c>
      <c r="U627" s="91">
        <f t="shared" si="656"/>
      </c>
    </row>
    <row r="629" spans="3:21" x14ac:dyDescent="0.3">
      <c r="C629" s="127" t="s">
        <v>343</v>
      </c>
      <c r="D629" s="128"/>
      <c r="E629" s="128"/>
      <c r="F629" s="128"/>
      <c r="G629" s="128"/>
      <c r="H629" s="128"/>
      <c r="I629" s="128"/>
      <c r="J629" s="27">
        <f t="shared" ref="J629:U629" si="657">IFERROR(J621/J627, 0)</f>
      </c>
      <c r="K629" s="27">
        <f t="shared" si="657"/>
      </c>
      <c r="L629" s="27">
        <f t="shared" si="657"/>
      </c>
      <c r="M629" s="27">
        <f t="shared" si="657"/>
      </c>
      <c r="N629" s="27">
        <f t="shared" si="657"/>
      </c>
      <c r="O629" s="27">
        <f t="shared" si="657"/>
      </c>
      <c r="P629" s="27">
        <f t="shared" si="657"/>
      </c>
      <c r="Q629" s="27">
        <f t="shared" si="657"/>
      </c>
      <c r="R629" s="27">
        <f t="shared" si="657"/>
      </c>
      <c r="S629" s="27">
        <f t="shared" si="657"/>
      </c>
      <c r="T629" s="27">
        <f t="shared" si="657"/>
      </c>
      <c r="U629" s="28">
        <f t="shared" si="657"/>
      </c>
    </row>
    <row r="630" spans="3:21" x14ac:dyDescent="0.3">
      <c r="C630" s="2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3:21" ht="18" x14ac:dyDescent="0.35">
      <c r="C631" s="24" t="s">
        <v>385</v>
      </c>
    </row>
    <row r="632" spans="3:21" ht="3" customHeight="1" x14ac:dyDescent="0.3"/>
    <row r="633" spans="3:21" x14ac:dyDescent="0.3">
      <c r="C633" s="2" t="s">
        <v>96</v>
      </c>
      <c r="J633" s="40">
        <f t="shared" ref="J633:U633" si="658">J335</f>
      </c>
      <c r="K633" s="40">
        <f t="shared" si="658"/>
      </c>
      <c r="L633" s="40">
        <f t="shared" si="658"/>
      </c>
      <c r="M633" s="40">
        <f t="shared" si="658"/>
      </c>
      <c r="N633" s="40">
        <f t="shared" si="658"/>
      </c>
      <c r="O633" s="40">
        <f t="shared" si="658"/>
      </c>
      <c r="P633" s="40">
        <f t="shared" si="658"/>
      </c>
      <c r="Q633" s="40">
        <f t="shared" si="658"/>
      </c>
      <c r="R633" s="40">
        <f t="shared" si="658"/>
      </c>
      <c r="S633" s="40">
        <f t="shared" si="658"/>
      </c>
      <c r="T633" s="40">
        <f t="shared" si="658"/>
      </c>
      <c r="U633" s="40">
        <f t="shared" si="658"/>
      </c>
    </row>
    <row r="634" spans="3:21" x14ac:dyDescent="0.3">
      <c r="C634" t="s">
        <v>344</v>
      </c>
      <c r="J634" s="40">
        <f t="shared" ref="J634:U634" si="659">J493</f>
      </c>
      <c r="K634" s="40">
        <f t="shared" si="659"/>
      </c>
      <c r="L634" s="40">
        <f t="shared" si="659"/>
      </c>
      <c r="M634" s="40">
        <f t="shared" si="659"/>
      </c>
      <c r="N634" s="40">
        <f t="shared" si="659"/>
      </c>
      <c r="O634" s="40">
        <f t="shared" si="659"/>
      </c>
      <c r="P634" s="40">
        <f t="shared" si="659"/>
      </c>
      <c r="Q634" s="40">
        <f t="shared" si="659"/>
      </c>
      <c r="R634" s="40">
        <f t="shared" si="659"/>
      </c>
      <c r="S634" s="40">
        <f t="shared" si="659"/>
      </c>
      <c r="T634" s="40">
        <f t="shared" si="659"/>
      </c>
      <c r="U634" s="40">
        <f t="shared" si="659"/>
      </c>
    </row>
    <row r="635" spans="3:21" x14ac:dyDescent="0.3">
      <c r="C635" t="s">
        <v>345</v>
      </c>
      <c r="J635" s="40">
        <f t="shared" ref="J635:U635" si="660">J507</f>
      </c>
      <c r="K635" s="40">
        <f t="shared" si="660"/>
      </c>
      <c r="L635" s="40">
        <f t="shared" si="660"/>
      </c>
      <c r="M635" s="40">
        <f t="shared" si="660"/>
      </c>
      <c r="N635" s="40">
        <f t="shared" si="660"/>
      </c>
      <c r="O635" s="40">
        <f t="shared" si="660"/>
      </c>
      <c r="P635" s="40">
        <f t="shared" si="660"/>
      </c>
      <c r="Q635" s="40">
        <f t="shared" si="660"/>
      </c>
      <c r="R635" s="40">
        <f t="shared" si="660"/>
      </c>
      <c r="S635" s="40">
        <f t="shared" si="660"/>
      </c>
      <c r="T635" s="40">
        <f t="shared" si="660"/>
      </c>
      <c r="U635" s="40">
        <f t="shared" si="660"/>
      </c>
    </row>
    <row r="636" spans="3:21" x14ac:dyDescent="0.3">
      <c r="C636" t="s">
        <v>346</v>
      </c>
      <c r="J636" s="126">
        <f>SUM(J634:J635)</f>
      </c>
      <c r="K636" s="126">
        <f t="shared" ref="K636:U636" si="661">SUM(K634:K635)</f>
      </c>
      <c r="L636" s="126">
        <f t="shared" si="661"/>
      </c>
      <c r="M636" s="126">
        <f t="shared" si="661"/>
      </c>
      <c r="N636" s="126">
        <f t="shared" si="661"/>
      </c>
      <c r="O636" s="126">
        <f t="shared" si="661"/>
      </c>
      <c r="P636" s="126">
        <f t="shared" si="661"/>
      </c>
      <c r="Q636" s="126">
        <f t="shared" si="661"/>
      </c>
      <c r="R636" s="126">
        <f t="shared" si="661"/>
      </c>
      <c r="S636" s="126">
        <f t="shared" si="661"/>
      </c>
      <c r="T636" s="126">
        <f t="shared" si="661"/>
      </c>
      <c r="U636" s="126">
        <f t="shared" si="661"/>
      </c>
    </row>
    <row r="637" spans="3:21" x14ac:dyDescent="0.3">
      <c r="C637" s="2" t="s">
        <v>347</v>
      </c>
      <c r="K637" s="91">
        <f>AVERAGE(J636:K636)</f>
      </c>
      <c r="L637" s="91">
        <f t="shared" ref="L637:U637" si="662">AVERAGE(K636:L636)</f>
      </c>
      <c r="M637" s="91">
        <f t="shared" si="662"/>
      </c>
      <c r="N637" s="91">
        <f t="shared" si="662"/>
      </c>
      <c r="O637" s="91">
        <f t="shared" si="662"/>
      </c>
      <c r="P637" s="91">
        <f t="shared" si="662"/>
      </c>
      <c r="Q637" s="91">
        <f t="shared" si="662"/>
      </c>
      <c r="R637" s="91">
        <f t="shared" si="662"/>
      </c>
      <c r="S637" s="91">
        <f t="shared" si="662"/>
      </c>
      <c r="T637" s="91">
        <f t="shared" si="662"/>
      </c>
      <c r="U637" s="91">
        <f t="shared" si="662"/>
      </c>
    </row>
    <row r="639" spans="3:21" x14ac:dyDescent="0.3">
      <c r="C639" s="127" t="s">
        <v>343</v>
      </c>
      <c r="D639" s="128"/>
      <c r="E639" s="128"/>
      <c r="F639" s="128"/>
      <c r="G639" s="128"/>
      <c r="H639" s="128"/>
      <c r="I639" s="128"/>
      <c r="J639" s="128"/>
      <c r="K639" s="27">
        <f t="shared" ref="K639:U639" si="663">IFERROR(K633/K637, 0)</f>
      </c>
      <c r="L639" s="27">
        <f t="shared" si="663"/>
      </c>
      <c r="M639" s="27">
        <f t="shared" si="663"/>
      </c>
      <c r="N639" s="27">
        <f t="shared" si="663"/>
      </c>
      <c r="O639" s="27">
        <f t="shared" si="663"/>
      </c>
      <c r="P639" s="27">
        <f t="shared" si="663"/>
      </c>
      <c r="Q639" s="27">
        <f t="shared" si="663"/>
      </c>
      <c r="R639" s="27">
        <f t="shared" si="663"/>
      </c>
      <c r="S639" s="27">
        <f t="shared" si="663"/>
      </c>
      <c r="T639" s="27">
        <f t="shared" si="663"/>
      </c>
      <c r="U639" s="28">
        <f t="shared" si="663"/>
      </c>
    </row>
    <row r="641" spans="3:21" x14ac:dyDescent="0.3">
      <c r="C641" t="s">
        <v>320</v>
      </c>
      <c r="K641" s="40">
        <f t="shared" ref="K641:U641" si="664">K555</f>
      </c>
      <c r="L641" s="40">
        <f t="shared" si="664"/>
      </c>
      <c r="M641" s="40">
        <f t="shared" si="664"/>
      </c>
      <c r="N641" s="40">
        <f t="shared" si="664"/>
      </c>
      <c r="O641" s="40">
        <f t="shared" si="664"/>
      </c>
      <c r="P641" s="40">
        <f t="shared" si="664"/>
      </c>
      <c r="Q641" s="40">
        <f t="shared" si="664"/>
      </c>
      <c r="R641" s="40">
        <f t="shared" si="664"/>
      </c>
      <c r="S641" s="40">
        <f t="shared" si="664"/>
      </c>
      <c r="T641" s="40">
        <f t="shared" si="664"/>
      </c>
      <c r="U641" s="40">
        <f t="shared" si="664"/>
      </c>
    </row>
    <row r="642" spans="3:21" x14ac:dyDescent="0.3">
      <c r="C642" t="s">
        <v>319</v>
      </c>
      <c r="K642" s="40">
        <f t="shared" ref="K642:U642" si="665">K554</f>
      </c>
      <c r="L642" s="40">
        <f t="shared" si="665"/>
      </c>
      <c r="M642" s="40">
        <f t="shared" si="665"/>
      </c>
      <c r="N642" s="40">
        <f t="shared" si="665"/>
      </c>
      <c r="O642" s="40">
        <f t="shared" si="665"/>
      </c>
      <c r="P642" s="40">
        <f t="shared" si="665"/>
      </c>
      <c r="Q642" s="40">
        <f t="shared" si="665"/>
      </c>
      <c r="R642" s="40">
        <f t="shared" si="665"/>
      </c>
      <c r="S642" s="40">
        <f t="shared" si="665"/>
      </c>
      <c r="T642" s="40">
        <f t="shared" si="665"/>
      </c>
      <c r="U642" s="40">
        <f t="shared" si="665"/>
      </c>
    </row>
    <row r="643" spans="3:21" x14ac:dyDescent="0.3">
      <c r="C643" s="2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</row>
    <row r="644" spans="3:21" x14ac:dyDescent="0.3">
      <c r="C644" s="121" t="s">
        <v>348</v>
      </c>
      <c r="D644" s="113"/>
      <c r="E644" s="113"/>
      <c r="F644" s="113"/>
      <c r="G644" s="113"/>
      <c r="H644" s="113"/>
      <c r="I644" s="113"/>
      <c r="J644" s="113"/>
      <c r="K644" s="129">
        <f t="shared" ref="K644:U644" si="666">IFERROR(K637/K641, 0)</f>
      </c>
      <c r="L644" s="129">
        <f t="shared" si="666"/>
      </c>
      <c r="M644" s="129">
        <f t="shared" si="666"/>
      </c>
      <c r="N644" s="129">
        <f t="shared" si="666"/>
      </c>
      <c r="O644" s="129">
        <f t="shared" si="666"/>
      </c>
      <c r="P644" s="129">
        <f t="shared" si="666"/>
      </c>
      <c r="Q644" s="129">
        <f t="shared" si="666"/>
      </c>
      <c r="R644" s="129">
        <f t="shared" si="666"/>
      </c>
      <c r="S644" s="129">
        <f t="shared" si="666"/>
      </c>
      <c r="T644" s="129">
        <f t="shared" si="666"/>
      </c>
      <c r="U644" s="130">
        <f t="shared" si="666"/>
      </c>
    </row>
    <row r="645" spans="3:21" x14ac:dyDescent="0.3">
      <c r="C645" s="122" t="s">
        <v>349</v>
      </c>
      <c r="D645" s="120"/>
      <c r="E645" s="120"/>
      <c r="F645" s="120"/>
      <c r="G645" s="120"/>
      <c r="H645" s="120"/>
      <c r="I645" s="120"/>
      <c r="J645" s="120"/>
      <c r="K645" s="131">
        <f t="shared" ref="K645:U645" si="667">IFERROR(K637/K642, 0)</f>
      </c>
      <c r="L645" s="131">
        <f t="shared" si="667"/>
      </c>
      <c r="M645" s="131">
        <f t="shared" si="667"/>
      </c>
      <c r="N645" s="131">
        <f t="shared" si="667"/>
      </c>
      <c r="O645" s="131">
        <f t="shared" si="667"/>
      </c>
      <c r="P645" s="131">
        <f t="shared" si="667"/>
      </c>
      <c r="Q645" s="131">
        <f t="shared" si="667"/>
      </c>
      <c r="R645" s="131">
        <f t="shared" si="667"/>
      </c>
      <c r="S645" s="131">
        <f t="shared" si="667"/>
      </c>
      <c r="T645" s="131">
        <f t="shared" si="667"/>
      </c>
      <c r="U645" s="132">
        <f t="shared" si="667"/>
      </c>
    </row>
    <row r="647" spans="3:21" ht="18" x14ac:dyDescent="0.35">
      <c r="C647" s="24" t="s">
        <v>386</v>
      </c>
    </row>
    <row r="648" spans="3:21" ht="3" customHeight="1" x14ac:dyDescent="0.3"/>
    <row r="649" spans="3:21" x14ac:dyDescent="0.3">
      <c r="C649" t="s">
        <v>350</v>
      </c>
      <c r="J649" s="40">
        <f t="shared" ref="J649:U649" si="668">J344</f>
      </c>
      <c r="K649" s="40">
        <f t="shared" si="668"/>
      </c>
      <c r="L649" s="40">
        <f t="shared" si="668"/>
      </c>
      <c r="M649" s="40">
        <f t="shared" si="668"/>
      </c>
      <c r="N649" s="40">
        <f t="shared" si="668"/>
      </c>
      <c r="O649" s="40">
        <f t="shared" si="668"/>
      </c>
      <c r="P649" s="40">
        <f t="shared" si="668"/>
      </c>
      <c r="Q649" s="40">
        <f t="shared" si="668"/>
      </c>
      <c r="R649" s="40">
        <f t="shared" si="668"/>
      </c>
      <c r="S649" s="40">
        <f t="shared" si="668"/>
      </c>
      <c r="T649" s="40">
        <f t="shared" si="668"/>
      </c>
      <c r="U649" s="40">
        <f t="shared" si="668"/>
      </c>
    </row>
    <row r="650" spans="3:21" x14ac:dyDescent="0.3">
      <c r="C650" t="s">
        <v>10</v>
      </c>
      <c r="J650" s="40">
        <f t="shared" ref="J650:U650" si="669">-J433</f>
      </c>
      <c r="K650" s="40">
        <f t="shared" si="669"/>
      </c>
      <c r="L650" s="40">
        <f t="shared" si="669"/>
      </c>
      <c r="M650" s="40">
        <f t="shared" si="669"/>
      </c>
      <c r="N650" s="40">
        <f t="shared" si="669"/>
      </c>
      <c r="O650" s="40">
        <f t="shared" si="669"/>
      </c>
      <c r="P650" s="40">
        <f t="shared" si="669"/>
      </c>
      <c r="Q650" s="40">
        <f t="shared" si="669"/>
      </c>
      <c r="R650" s="40">
        <f t="shared" si="669"/>
      </c>
      <c r="S650" s="40">
        <f t="shared" si="669"/>
      </c>
      <c r="T650" s="40">
        <f t="shared" si="669"/>
      </c>
      <c r="U650" s="40">
        <f t="shared" si="669"/>
      </c>
    </row>
    <row r="651" spans="3:21" x14ac:dyDescent="0.3">
      <c r="C651" t="s">
        <v>351</v>
      </c>
      <c r="J651" s="40">
        <f t="shared" ref="J651:U651" si="670">-MIN(0, J432)</f>
      </c>
      <c r="K651" s="40">
        <f t="shared" si="670"/>
      </c>
      <c r="L651" s="40">
        <f t="shared" si="670"/>
      </c>
      <c r="M651" s="40">
        <f t="shared" si="670"/>
      </c>
      <c r="N651" s="40">
        <f t="shared" si="670"/>
      </c>
      <c r="O651" s="40">
        <f t="shared" si="670"/>
      </c>
      <c r="P651" s="40">
        <f t="shared" si="670"/>
      </c>
      <c r="Q651" s="40">
        <f t="shared" si="670"/>
      </c>
      <c r="R651" s="40">
        <f t="shared" si="670"/>
      </c>
      <c r="S651" s="40">
        <f t="shared" si="670"/>
      </c>
      <c r="T651" s="40">
        <f t="shared" si="670"/>
      </c>
      <c r="U651" s="40">
        <f t="shared" si="670"/>
      </c>
    </row>
    <row r="652" spans="3:21" x14ac:dyDescent="0.3"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</row>
    <row r="653" spans="3:21" x14ac:dyDescent="0.3">
      <c r="C653" s="144" t="s">
        <v>352</v>
      </c>
      <c r="D653" s="145"/>
      <c r="E653" s="145"/>
      <c r="F653" s="145"/>
      <c r="G653" s="145"/>
      <c r="H653" s="145"/>
      <c r="I653" s="128"/>
      <c r="J653" s="146">
        <f>IFERROR((J650+J651)/J649, 0)</f>
      </c>
      <c r="K653" s="146">
        <f t="shared" ref="K653:U653" si="671">IFERROR((K650+K651)/K649, 0)</f>
      </c>
      <c r="L653" s="146">
        <f t="shared" si="671"/>
      </c>
      <c r="M653" s="146">
        <f t="shared" si="671"/>
      </c>
      <c r="N653" s="146">
        <f t="shared" si="671"/>
      </c>
      <c r="O653" s="146">
        <f t="shared" si="671"/>
      </c>
      <c r="P653" s="146">
        <f t="shared" si="671"/>
      </c>
      <c r="Q653" s="146">
        <f t="shared" si="671"/>
      </c>
      <c r="R653" s="146">
        <f t="shared" si="671"/>
      </c>
      <c r="S653" s="146">
        <f t="shared" si="671"/>
      </c>
      <c r="T653" s="146">
        <f t="shared" si="671"/>
      </c>
      <c r="U653" s="147">
        <f t="shared" si="671"/>
      </c>
    </row>
    <row r="657" spans="2:22" ht="18" x14ac:dyDescent="0.35">
      <c r="B657" s="148" t="str">
        <f>'Assumptions&amp;Scenario'!$K$10</f>
      </c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</row>
    <row r="658" spans="2:22" ht="18" thickBot="1" x14ac:dyDescent="0.35">
      <c r="B658" s="47" t="s">
        <v>353</v>
      </c>
      <c r="C658" s="48"/>
      <c r="D658" s="48"/>
      <c r="E658" s="48"/>
      <c r="F658" s="48"/>
      <c r="G658" s="48"/>
      <c r="H658" s="49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</row>
    <row r="659" spans="2:22" x14ac:dyDescent="0.3">
      <c r="C659" s="2"/>
      <c r="D659" s="2"/>
      <c r="E659" s="2"/>
      <c r="F659" s="2"/>
      <c r="L659" s="83"/>
      <c r="M659" s="83"/>
      <c r="N659" s="83"/>
      <c r="O659" s="83"/>
      <c r="P659" s="83"/>
      <c r="Q659" s="83"/>
      <c r="R659" s="83"/>
      <c r="S659" s="83"/>
      <c r="T659" s="83"/>
      <c r="U659" s="83"/>
    </row>
    <row r="660" spans="2:22" ht="15.6" x14ac:dyDescent="0.3">
      <c r="C660" s="43" t="s">
        <v>389</v>
      </c>
      <c r="D660" s="43"/>
      <c r="E660" s="43"/>
      <c r="F660" s="43"/>
      <c r="G660" s="43"/>
      <c r="H660" s="44"/>
      <c r="I660" s="44"/>
      <c r="J660" s="44" t="str">
        <f>"FY"&amp;TEXT(RIGHT(K660,2)-(COLUMN(K660)-COLUMN()),"00")</f>
      </c>
      <c r="K660" s="44" t="str">
        <f t="shared" ref="K660" si="672">"FY"&amp;TEXT(RIGHT(L660,2)-(COLUMN(L660)-COLUMN()),"00")</f>
      </c>
      <c r="L660" s="79" t="str">
        <f t="shared" ref="L660" si="673">"FY"&amp;TEXT(RIGHT(M660,2)-(COLUMN(M660)-COLUMN()),"00")</f>
      </c>
      <c r="M660" s="79" t="str">
        <f t="shared" ref="M660" si="674">"FY"&amp;TEXT(RIGHT(N660,2)-(COLUMN(N660)-COLUMN()),"00")</f>
      </c>
      <c r="N660" s="79" t="str">
        <f t="shared" ref="N660" si="675">"FY"&amp;TEXT(RIGHT(O660,2)-(COLUMN(O660)-COLUMN()),"00")</f>
      </c>
      <c r="O660" s="79" t="str">
        <f t="shared" ref="O660" si="676">"FY"&amp;TEXT(RIGHT(P660,2)-(COLUMN(P660)-COLUMN()),"00")</f>
      </c>
      <c r="P660" s="79" t="str">
        <f t="shared" ref="P660" si="677">"FY"&amp;TEXT(RIGHT(Q660,2)-(COLUMN(Q660)-COLUMN()),"00")</f>
      </c>
      <c r="Q660" s="79" t="str">
        <f t="shared" ref="Q660" si="678">"FY"&amp;TEXT(RIGHT(R660,2)-(COLUMN(R660)-COLUMN()),"00")</f>
      </c>
      <c r="R660" s="79" t="str">
        <f t="shared" ref="R660" si="679">"FY"&amp;TEXT(RIGHT(S660,2)-(COLUMN(S660)-COLUMN()),"00")</f>
      </c>
      <c r="S660" s="79" t="str">
        <f t="shared" ref="S660" si="680">"FY"&amp;TEXT(RIGHT(T660,2)-(COLUMN(T660)-COLUMN()),"00")</f>
      </c>
      <c r="T660" s="79" t="str">
        <f t="shared" ref="T660" si="681">"FY"&amp;TEXT(RIGHT(U660,2)-(COLUMN(U660)-COLUMN()),"00")</f>
      </c>
      <c r="U660" s="79" t="str">
        <f>"FY"&amp;TEXT(DATE(YEAR('Data Sheet'!$K$16)+(MONTH('Data Sheet'!$K$16)&gt;3),1,1),"YY")</f>
      </c>
    </row>
    <row r="661" spans="2:22" ht="3" customHeight="1" x14ac:dyDescent="0.3"/>
    <row r="662" spans="2:22" ht="3" customHeight="1" x14ac:dyDescent="0.3"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spans="2:22" ht="3" customHeight="1" x14ac:dyDescent="0.3"/>
    <row r="664" spans="2:22" ht="18" x14ac:dyDescent="0.35">
      <c r="C664" s="24" t="s">
        <v>387</v>
      </c>
      <c r="H664" s="77" t="str">
        <f>$H$10</f>
      </c>
    </row>
    <row r="665" spans="2:22" ht="3" customHeight="1" x14ac:dyDescent="0.3"/>
    <row r="666" spans="2:22" x14ac:dyDescent="0.3">
      <c r="C666" t="s">
        <v>354</v>
      </c>
      <c r="J666" s="40">
        <f t="shared" ref="J666:U666" si="682">J352</f>
      </c>
      <c r="K666" s="40">
        <f t="shared" si="682"/>
      </c>
      <c r="L666" s="40">
        <f t="shared" si="682"/>
      </c>
      <c r="M666" s="40">
        <f t="shared" si="682"/>
      </c>
      <c r="N666" s="40">
        <f t="shared" si="682"/>
      </c>
      <c r="O666" s="40">
        <f t="shared" si="682"/>
      </c>
      <c r="P666" s="40">
        <f t="shared" si="682"/>
      </c>
      <c r="Q666" s="40">
        <f t="shared" si="682"/>
      </c>
      <c r="R666" s="40">
        <f t="shared" si="682"/>
      </c>
      <c r="S666" s="40">
        <f t="shared" si="682"/>
      </c>
      <c r="T666" s="40">
        <f t="shared" si="682"/>
      </c>
      <c r="U666" s="40">
        <f t="shared" si="682"/>
      </c>
    </row>
    <row r="667" spans="2:22" x14ac:dyDescent="0.3">
      <c r="C667" t="s">
        <v>41</v>
      </c>
      <c r="J667" s="40">
        <f t="shared" ref="J667:U667" si="683">J351</f>
      </c>
      <c r="K667" s="40">
        <f t="shared" si="683"/>
      </c>
      <c r="L667" s="40">
        <f t="shared" si="683"/>
      </c>
      <c r="M667" s="40">
        <f t="shared" si="683"/>
      </c>
      <c r="N667" s="40">
        <f t="shared" si="683"/>
      </c>
      <c r="O667" s="40">
        <f t="shared" si="683"/>
      </c>
      <c r="P667" s="40">
        <f t="shared" si="683"/>
      </c>
      <c r="Q667" s="40">
        <f t="shared" si="683"/>
      </c>
      <c r="R667" s="40">
        <f t="shared" si="683"/>
      </c>
      <c r="S667" s="40">
        <f t="shared" si="683"/>
      </c>
      <c r="T667" s="40">
        <f t="shared" si="683"/>
      </c>
      <c r="U667" s="40">
        <f t="shared" si="683"/>
      </c>
    </row>
    <row r="668" spans="2:22" x14ac:dyDescent="0.3">
      <c r="C668" t="s">
        <v>40</v>
      </c>
      <c r="J668" s="40">
        <f t="shared" ref="J668:U668" si="684">J350</f>
      </c>
      <c r="K668" s="40">
        <f t="shared" si="684"/>
      </c>
      <c r="L668" s="40">
        <f t="shared" si="684"/>
      </c>
      <c r="M668" s="40">
        <f t="shared" si="684"/>
      </c>
      <c r="N668" s="40">
        <f t="shared" si="684"/>
      </c>
      <c r="O668" s="40">
        <f t="shared" si="684"/>
      </c>
      <c r="P668" s="40">
        <f t="shared" si="684"/>
      </c>
      <c r="Q668" s="40">
        <f t="shared" si="684"/>
      </c>
      <c r="R668" s="40">
        <f t="shared" si="684"/>
      </c>
      <c r="S668" s="40">
        <f t="shared" si="684"/>
      </c>
      <c r="T668" s="40">
        <f t="shared" si="684"/>
      </c>
      <c r="U668" s="40">
        <f t="shared" si="684"/>
      </c>
    </row>
    <row r="669" spans="2:22" x14ac:dyDescent="0.3">
      <c r="C669" t="s">
        <v>355</v>
      </c>
      <c r="J669" s="40">
        <f t="shared" ref="J669:U669" si="685">-(J432+J433)</f>
      </c>
      <c r="K669" s="40">
        <f t="shared" si="685"/>
      </c>
      <c r="L669" s="40">
        <f t="shared" si="685"/>
      </c>
      <c r="M669" s="40">
        <f t="shared" si="685"/>
      </c>
      <c r="N669" s="40">
        <f t="shared" si="685"/>
      </c>
      <c r="O669" s="40">
        <f t="shared" si="685"/>
      </c>
      <c r="P669" s="40">
        <f t="shared" si="685"/>
      </c>
      <c r="Q669" s="40">
        <f t="shared" si="685"/>
      </c>
      <c r="R669" s="40">
        <f t="shared" si="685"/>
      </c>
      <c r="S669" s="40">
        <f t="shared" si="685"/>
      </c>
      <c r="T669" s="40">
        <f t="shared" si="685"/>
      </c>
      <c r="U669" s="40">
        <f t="shared" si="685"/>
      </c>
    </row>
    <row r="670" spans="2:22" x14ac:dyDescent="0.3">
      <c r="C670" t="s">
        <v>356</v>
      </c>
      <c r="J670" s="40">
        <f t="shared" ref="J670:U670" si="686">-J433</f>
      </c>
      <c r="K670" s="40">
        <f t="shared" si="686"/>
      </c>
      <c r="L670" s="40">
        <f t="shared" si="686"/>
      </c>
      <c r="M670" s="40">
        <f t="shared" si="686"/>
      </c>
      <c r="N670" s="40">
        <f t="shared" si="686"/>
      </c>
      <c r="O670" s="40">
        <f t="shared" si="686"/>
      </c>
      <c r="P670" s="40">
        <f t="shared" si="686"/>
      </c>
      <c r="Q670" s="40">
        <f t="shared" si="686"/>
      </c>
      <c r="R670" s="40">
        <f t="shared" si="686"/>
      </c>
      <c r="S670" s="40">
        <f t="shared" si="686"/>
      </c>
      <c r="T670" s="40">
        <f t="shared" si="686"/>
      </c>
      <c r="U670" s="40">
        <f t="shared" si="686"/>
      </c>
    </row>
    <row r="671" spans="2:22" x14ac:dyDescent="0.3">
      <c r="C671" t="s">
        <v>357</v>
      </c>
      <c r="J671" s="40">
        <f t="shared" ref="J671:U671" si="687">J522</f>
      </c>
      <c r="K671" s="40">
        <f t="shared" si="687"/>
      </c>
      <c r="L671" s="40">
        <f t="shared" si="687"/>
      </c>
      <c r="M671" s="40">
        <f t="shared" si="687"/>
      </c>
      <c r="N671" s="40">
        <f t="shared" si="687"/>
      </c>
      <c r="O671" s="40">
        <f t="shared" si="687"/>
      </c>
      <c r="P671" s="40">
        <f t="shared" si="687"/>
      </c>
      <c r="Q671" s="40">
        <f t="shared" si="687"/>
      </c>
      <c r="R671" s="40">
        <f t="shared" si="687"/>
      </c>
      <c r="S671" s="40">
        <f t="shared" si="687"/>
      </c>
      <c r="T671" s="40">
        <f t="shared" si="687"/>
      </c>
      <c r="U671" s="40">
        <f t="shared" si="687"/>
      </c>
    </row>
    <row r="672" spans="2:22" x14ac:dyDescent="0.3">
      <c r="C672" t="s">
        <v>358</v>
      </c>
      <c r="J672" s="40">
        <f t="shared" ref="J672:U672" si="688">J636</f>
      </c>
      <c r="K672" s="40">
        <f t="shared" si="688"/>
      </c>
      <c r="L672" s="40">
        <f t="shared" si="688"/>
      </c>
      <c r="M672" s="40">
        <f t="shared" si="688"/>
      </c>
      <c r="N672" s="40">
        <f t="shared" si="688"/>
      </c>
      <c r="O672" s="40">
        <f t="shared" si="688"/>
      </c>
      <c r="P672" s="40">
        <f t="shared" si="688"/>
      </c>
      <c r="Q672" s="40">
        <f t="shared" si="688"/>
      </c>
      <c r="R672" s="40">
        <f t="shared" si="688"/>
      </c>
      <c r="S672" s="40">
        <f t="shared" si="688"/>
      </c>
      <c r="T672" s="40">
        <f t="shared" si="688"/>
      </c>
      <c r="U672" s="40">
        <f t="shared" si="688"/>
      </c>
    </row>
    <row r="673" spans="3:21" x14ac:dyDescent="0.3">
      <c r="C673" t="s">
        <v>359</v>
      </c>
      <c r="J673" s="40">
        <f t="shared" ref="J673:U673" si="689">J453+J454</f>
      </c>
      <c r="K673" s="40">
        <f t="shared" si="689"/>
      </c>
      <c r="L673" s="40">
        <f t="shared" si="689"/>
      </c>
      <c r="M673" s="40">
        <f t="shared" si="689"/>
      </c>
      <c r="N673" s="40">
        <f t="shared" si="689"/>
      </c>
      <c r="O673" s="40">
        <f t="shared" si="689"/>
      </c>
      <c r="P673" s="40">
        <f t="shared" si="689"/>
      </c>
      <c r="Q673" s="40">
        <f t="shared" si="689"/>
      </c>
      <c r="R673" s="40">
        <f t="shared" si="689"/>
      </c>
      <c r="S673" s="40">
        <f t="shared" si="689"/>
      </c>
      <c r="T673" s="40">
        <f t="shared" si="689"/>
      </c>
      <c r="U673" s="40">
        <f t="shared" si="689"/>
      </c>
    </row>
    <row r="674" spans="3:21" x14ac:dyDescent="0.3">
      <c r="C674" t="s">
        <v>107</v>
      </c>
      <c r="J674" s="40">
        <f>J666+J672-J673</f>
      </c>
      <c r="K674" s="40">
        <f t="shared" ref="K674:U674" si="690">K666+K672-K673</f>
      </c>
      <c r="L674" s="40">
        <f t="shared" si="690"/>
      </c>
      <c r="M674" s="40">
        <f t="shared" si="690"/>
      </c>
      <c r="N674" s="40">
        <f t="shared" si="690"/>
      </c>
      <c r="O674" s="40">
        <f t="shared" si="690"/>
      </c>
      <c r="P674" s="40">
        <f t="shared" si="690"/>
      </c>
      <c r="Q674" s="40">
        <f t="shared" si="690"/>
      </c>
      <c r="R674" s="40">
        <f t="shared" si="690"/>
      </c>
      <c r="S674" s="40">
        <f t="shared" si="690"/>
      </c>
      <c r="T674" s="40">
        <f t="shared" si="690"/>
      </c>
      <c r="U674" s="40">
        <f t="shared" si="690"/>
      </c>
    </row>
    <row r="675" spans="3:21" x14ac:dyDescent="0.3">
      <c r="C675" t="s">
        <v>1</v>
      </c>
      <c r="J675" s="40">
        <f t="shared" ref="J675:U675" si="691">J325</f>
      </c>
      <c r="K675" s="40">
        <f t="shared" si="691"/>
      </c>
      <c r="L675" s="40">
        <f t="shared" si="691"/>
      </c>
      <c r="M675" s="40">
        <f t="shared" si="691"/>
      </c>
      <c r="N675" s="40">
        <f t="shared" si="691"/>
      </c>
      <c r="O675" s="40">
        <f t="shared" si="691"/>
      </c>
      <c r="P675" s="40">
        <f t="shared" si="691"/>
      </c>
      <c r="Q675" s="40">
        <f t="shared" si="691"/>
      </c>
      <c r="R675" s="40">
        <f t="shared" si="691"/>
      </c>
      <c r="S675" s="40">
        <f t="shared" si="691"/>
      </c>
      <c r="T675" s="40">
        <f t="shared" si="691"/>
      </c>
      <c r="U675" s="40">
        <f t="shared" si="691"/>
      </c>
    </row>
    <row r="676" spans="3:21" x14ac:dyDescent="0.3">
      <c r="C676" t="s">
        <v>74</v>
      </c>
      <c r="J676" s="40">
        <f t="shared" ref="J676:U676" si="692">J332</f>
      </c>
      <c r="K676" s="40">
        <f t="shared" si="692"/>
      </c>
      <c r="L676" s="40">
        <f t="shared" si="692"/>
      </c>
      <c r="M676" s="40">
        <f t="shared" si="692"/>
      </c>
      <c r="N676" s="40">
        <f t="shared" si="692"/>
      </c>
      <c r="O676" s="40">
        <f t="shared" si="692"/>
      </c>
      <c r="P676" s="40">
        <f t="shared" si="692"/>
      </c>
      <c r="Q676" s="40">
        <f t="shared" si="692"/>
      </c>
      <c r="R676" s="40">
        <f t="shared" si="692"/>
      </c>
      <c r="S676" s="40">
        <f t="shared" si="692"/>
      </c>
      <c r="T676" s="40">
        <f t="shared" si="692"/>
      </c>
      <c r="U676" s="40">
        <f t="shared" si="692"/>
      </c>
    </row>
    <row r="677" spans="3:21" x14ac:dyDescent="0.3">
      <c r="C677" t="s">
        <v>73</v>
      </c>
      <c r="J677" s="40">
        <f t="shared" ref="J677:U677" si="693">J328</f>
      </c>
      <c r="K677" s="40">
        <f t="shared" si="693"/>
      </c>
      <c r="L677" s="40">
        <f t="shared" si="693"/>
      </c>
      <c r="M677" s="40">
        <f t="shared" si="693"/>
      </c>
      <c r="N677" s="40">
        <f t="shared" si="693"/>
      </c>
      <c r="O677" s="40">
        <f t="shared" si="693"/>
      </c>
      <c r="P677" s="40">
        <f t="shared" si="693"/>
      </c>
      <c r="Q677" s="40">
        <f t="shared" si="693"/>
      </c>
      <c r="R677" s="40">
        <f t="shared" si="693"/>
      </c>
      <c r="S677" s="40">
        <f t="shared" si="693"/>
      </c>
      <c r="T677" s="40">
        <f t="shared" si="693"/>
      </c>
      <c r="U677" s="40">
        <f t="shared" si="693"/>
      </c>
    </row>
    <row r="678" spans="3:21" x14ac:dyDescent="0.3">
      <c r="C678" t="s">
        <v>238</v>
      </c>
      <c r="J678" s="40">
        <f>J649</f>
      </c>
      <c r="K678" s="40">
        <f t="shared" ref="K678:U678" si="694">K649</f>
      </c>
      <c r="L678" s="40">
        <f t="shared" si="694"/>
      </c>
      <c r="M678" s="40">
        <f t="shared" si="694"/>
      </c>
      <c r="N678" s="40">
        <f t="shared" si="694"/>
      </c>
      <c r="O678" s="40">
        <f t="shared" si="694"/>
      </c>
      <c r="P678" s="40">
        <f t="shared" si="694"/>
      </c>
      <c r="Q678" s="40">
        <f t="shared" si="694"/>
      </c>
      <c r="R678" s="40">
        <f t="shared" si="694"/>
      </c>
      <c r="S678" s="40">
        <f t="shared" si="694"/>
      </c>
      <c r="T678" s="40">
        <f t="shared" si="694"/>
      </c>
      <c r="U678" s="40">
        <f t="shared" si="694"/>
      </c>
    </row>
    <row r="680" spans="3:21" x14ac:dyDescent="0.3">
      <c r="C680" s="2" t="s">
        <v>360</v>
      </c>
      <c r="J680" s="133">
        <f>IFERROR(J669/J666, 0)</f>
      </c>
      <c r="K680" s="133">
        <f t="shared" ref="K680:U680" si="695">IFERROR(K669/K666, 0)</f>
      </c>
      <c r="L680" s="133">
        <f t="shared" si="695"/>
      </c>
      <c r="M680" s="133">
        <f t="shared" si="695"/>
      </c>
      <c r="N680" s="133">
        <f t="shared" si="695"/>
      </c>
      <c r="O680" s="133">
        <f t="shared" si="695"/>
      </c>
      <c r="P680" s="133">
        <f t="shared" si="695"/>
      </c>
      <c r="Q680" s="133">
        <f t="shared" si="695"/>
      </c>
      <c r="R680" s="133">
        <f t="shared" si="695"/>
      </c>
      <c r="S680" s="133">
        <f t="shared" si="695"/>
      </c>
      <c r="T680" s="133">
        <f t="shared" si="695"/>
      </c>
      <c r="U680" s="133">
        <f t="shared" si="695"/>
      </c>
    </row>
    <row r="681" spans="3:21" x14ac:dyDescent="0.3">
      <c r="C681" s="2" t="s">
        <v>361</v>
      </c>
      <c r="J681" s="133">
        <f>IFERROR(J670/J666, 0)</f>
      </c>
      <c r="K681" s="133">
        <f t="shared" ref="K681:U681" si="696">IFERROR(K670/K666, 0)</f>
      </c>
      <c r="L681" s="133">
        <f t="shared" si="696"/>
      </c>
      <c r="M681" s="133">
        <f t="shared" si="696"/>
      </c>
      <c r="N681" s="133">
        <f t="shared" si="696"/>
      </c>
      <c r="O681" s="133">
        <f t="shared" si="696"/>
      </c>
      <c r="P681" s="133">
        <f t="shared" si="696"/>
      </c>
      <c r="Q681" s="133">
        <f t="shared" si="696"/>
      </c>
      <c r="R681" s="133">
        <f t="shared" si="696"/>
      </c>
      <c r="S681" s="133">
        <f t="shared" si="696"/>
      </c>
      <c r="T681" s="133">
        <f t="shared" si="696"/>
      </c>
      <c r="U681" s="133">
        <f t="shared" si="696"/>
      </c>
    </row>
    <row r="682" spans="3:21" x14ac:dyDescent="0.3">
      <c r="C682" s="2" t="s">
        <v>362</v>
      </c>
      <c r="J682" s="134">
        <f>IFERROR(J666/J671, 0)</f>
      </c>
      <c r="K682" s="134">
        <f t="shared" ref="K682:U682" si="697">IFERROR(K666/K671, 0)</f>
      </c>
      <c r="L682" s="134">
        <f t="shared" si="697"/>
      </c>
      <c r="M682" s="134">
        <f t="shared" si="697"/>
      </c>
      <c r="N682" s="134">
        <f t="shared" si="697"/>
      </c>
      <c r="O682" s="134">
        <f t="shared" si="697"/>
      </c>
      <c r="P682" s="134">
        <f t="shared" si="697"/>
      </c>
      <c r="Q682" s="134">
        <f t="shared" si="697"/>
      </c>
      <c r="R682" s="134">
        <f t="shared" si="697"/>
      </c>
      <c r="S682" s="134">
        <f t="shared" si="697"/>
      </c>
      <c r="T682" s="134">
        <f t="shared" si="697"/>
      </c>
      <c r="U682" s="134">
        <f t="shared" si="697"/>
      </c>
    </row>
    <row r="683" spans="3:21" x14ac:dyDescent="0.3">
      <c r="C683" t="s">
        <v>363</v>
      </c>
      <c r="J683" s="134">
        <f>IFERROR(J674/J675, 0)</f>
      </c>
      <c r="K683" s="134">
        <f t="shared" ref="K683:U683" si="698">IFERROR(K674/K675, 0)</f>
      </c>
      <c r="L683" s="134">
        <f t="shared" si="698"/>
      </c>
      <c r="M683" s="134">
        <f t="shared" si="698"/>
      </c>
      <c r="N683" s="134">
        <f t="shared" si="698"/>
      </c>
      <c r="O683" s="134">
        <f t="shared" si="698"/>
      </c>
      <c r="P683" s="134">
        <f t="shared" si="698"/>
      </c>
      <c r="Q683" s="134">
        <f t="shared" si="698"/>
      </c>
      <c r="R683" s="134">
        <f t="shared" si="698"/>
      </c>
      <c r="S683" s="134">
        <f t="shared" si="698"/>
      </c>
      <c r="T683" s="134">
        <f t="shared" si="698"/>
      </c>
      <c r="U683" s="134">
        <f t="shared" si="698"/>
      </c>
    </row>
    <row r="684" spans="3:21" x14ac:dyDescent="0.3">
      <c r="C684" t="s">
        <v>364</v>
      </c>
      <c r="J684" s="134">
        <f>IFERROR(J674/J676, 0)</f>
      </c>
      <c r="K684" s="134">
        <f t="shared" ref="K684:U684" si="699">IFERROR(K674/K676, 0)</f>
      </c>
      <c r="L684" s="134">
        <f t="shared" si="699"/>
      </c>
      <c r="M684" s="134">
        <f t="shared" si="699"/>
      </c>
      <c r="N684" s="134">
        <f t="shared" si="699"/>
      </c>
      <c r="O684" s="134">
        <f t="shared" si="699"/>
      </c>
      <c r="P684" s="134">
        <f t="shared" si="699"/>
      </c>
      <c r="Q684" s="134">
        <f t="shared" si="699"/>
      </c>
      <c r="R684" s="134">
        <f t="shared" si="699"/>
      </c>
      <c r="S684" s="134">
        <f t="shared" si="699"/>
      </c>
      <c r="T684" s="134">
        <f t="shared" si="699"/>
      </c>
      <c r="U684" s="134">
        <f t="shared" si="699"/>
      </c>
    </row>
    <row r="685" spans="3:21" x14ac:dyDescent="0.3">
      <c r="C685" t="s">
        <v>365</v>
      </c>
      <c r="J685" s="134">
        <f>IFERROR(J674/J677, 0)</f>
      </c>
      <c r="K685" s="134">
        <f t="shared" ref="K685:U685" si="700">IFERROR(K674/K677, 0)</f>
      </c>
      <c r="L685" s="134">
        <f t="shared" si="700"/>
      </c>
      <c r="M685" s="134">
        <f t="shared" si="700"/>
      </c>
      <c r="N685" s="134">
        <f t="shared" si="700"/>
      </c>
      <c r="O685" s="134">
        <f t="shared" si="700"/>
      </c>
      <c r="P685" s="134">
        <f t="shared" si="700"/>
      </c>
      <c r="Q685" s="134">
        <f t="shared" si="700"/>
      </c>
      <c r="R685" s="134">
        <f t="shared" si="700"/>
      </c>
      <c r="S685" s="134">
        <f t="shared" si="700"/>
      </c>
      <c r="T685" s="134">
        <f t="shared" si="700"/>
      </c>
      <c r="U685" s="134">
        <f t="shared" si="700"/>
      </c>
    </row>
    <row r="686" spans="3:21" x14ac:dyDescent="0.3">
      <c r="C686" t="s">
        <v>366</v>
      </c>
      <c r="J686" s="134">
        <f>IFERROR(J667/J668, 0)</f>
      </c>
      <c r="K686" s="134">
        <f t="shared" ref="K686:U686" si="701">IFERROR(K667/K668, 0)</f>
      </c>
      <c r="L686" s="134">
        <f t="shared" si="701"/>
      </c>
      <c r="M686" s="134">
        <f t="shared" si="701"/>
      </c>
      <c r="N686" s="134">
        <f t="shared" si="701"/>
      </c>
      <c r="O686" s="134">
        <f t="shared" si="701"/>
      </c>
      <c r="P686" s="134">
        <f t="shared" si="701"/>
      </c>
      <c r="Q686" s="134">
        <f t="shared" si="701"/>
      </c>
      <c r="R686" s="134">
        <f t="shared" si="701"/>
      </c>
      <c r="S686" s="134">
        <f t="shared" si="701"/>
      </c>
      <c r="T686" s="134">
        <f t="shared" si="701"/>
      </c>
      <c r="U686" s="134">
        <f t="shared" si="701"/>
      </c>
    </row>
    <row r="687" spans="3:21" x14ac:dyDescent="0.3">
      <c r="C687" t="s">
        <v>367</v>
      </c>
      <c r="J687" s="134">
        <f>IFERROR(J667/K668, 0)</f>
      </c>
      <c r="K687" s="134">
        <f t="shared" ref="K687:T687" si="702">IFERROR(K667/L668, 0)</f>
      </c>
      <c r="L687" s="134">
        <f t="shared" si="702"/>
      </c>
      <c r="M687" s="134">
        <f t="shared" si="702"/>
      </c>
      <c r="N687" s="134">
        <f t="shared" si="702"/>
      </c>
      <c r="O687" s="134">
        <f t="shared" si="702"/>
      </c>
      <c r="P687" s="134">
        <f t="shared" si="702"/>
      </c>
      <c r="Q687" s="134">
        <f t="shared" si="702"/>
      </c>
      <c r="R687" s="134">
        <f t="shared" si="702"/>
      </c>
      <c r="S687" s="134">
        <f t="shared" si="702"/>
      </c>
      <c r="T687" s="134">
        <f t="shared" si="702"/>
      </c>
      <c r="U687" s="135">
        <f>U667/Y350</f>
      </c>
    </row>
  </sheetData>
  <phoneticPr fontId="12" type="noConversion"/>
  <conditionalFormatting sqref="J680:U681">
    <cfRule type="colorScale" priority="7">
      <colorScale>
        <cfvo type="min"/>
        <cfvo type="max"/>
        <color rgb="FFFCFCFF"/>
        <color rgb="FF63BE7B"/>
      </colorScale>
    </cfRule>
  </conditionalFormatting>
  <conditionalFormatting sqref="J682:U682">
    <cfRule type="colorScale" priority="6">
      <colorScale>
        <cfvo type="min"/>
        <cfvo type="max"/>
        <color rgb="FFFCFCFF"/>
        <color rgb="FF63BE7B"/>
      </colorScale>
    </cfRule>
  </conditionalFormatting>
  <conditionalFormatting sqref="J683:U683">
    <cfRule type="colorScale" priority="5">
      <colorScale>
        <cfvo type="min"/>
        <cfvo type="max"/>
        <color rgb="FFFCFCFF"/>
        <color rgb="FF63BE7B"/>
      </colorScale>
    </cfRule>
  </conditionalFormatting>
  <conditionalFormatting sqref="J684:U684">
    <cfRule type="colorScale" priority="4">
      <colorScale>
        <cfvo type="min"/>
        <cfvo type="max"/>
        <color rgb="FFFCFCFF"/>
        <color rgb="FF63BE7B"/>
      </colorScale>
    </cfRule>
  </conditionalFormatting>
  <conditionalFormatting sqref="J685:U685">
    <cfRule type="colorScale" priority="3">
      <colorScale>
        <cfvo type="min"/>
        <cfvo type="max"/>
        <color rgb="FFFCFCFF"/>
        <color rgb="FF63BE7B"/>
      </colorScale>
    </cfRule>
  </conditionalFormatting>
  <conditionalFormatting sqref="J686:U686">
    <cfRule type="colorScale" priority="2">
      <colorScale>
        <cfvo type="min"/>
        <cfvo type="max"/>
        <color rgb="FFFCFCFF"/>
        <color rgb="FF63BE7B"/>
      </colorScale>
    </cfRule>
  </conditionalFormatting>
  <conditionalFormatting sqref="J687:U687">
    <cfRule type="colorScale" priority="1">
      <colorScale>
        <cfvo type="min"/>
        <cfvo type="max"/>
        <color rgb="FFFCFCFF"/>
        <color rgb="FF63BE7B"/>
      </colorScale>
    </cfRule>
  </conditionalFormatting>
  <printOptions horizontalCentered="1"/>
  <pageMargins left="0.19685039370078741" right="0.19685039370078741" top="0.19685039370078741" bottom="0.19685039370078741" header="0.11811023622047245" footer="0.11811023622047245"/>
  <pageSetup paperSize="5" scale="95" orientation="landscape" r:id="rId1"/>
  <headerFooter>
    <oddFooter>&amp;L&amp;A&amp;CPage &amp;P of &amp;N&amp;R&amp;F</oddFooter>
  </headerFooter>
  <rowBreaks count="3" manualBreakCount="3">
    <brk id="399" min="1" max="21" man="1"/>
    <brk id="442" min="1" max="21" man="1"/>
    <brk id="482" min="1" max="21" man="1"/>
  </rowBreaks>
  <ignoredErrors>
    <ignoredError sqref="L331:U33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E472-2DA0-4FCB-AC0B-5EAA6583D584}">
  <dimension ref="B2:AJ645"/>
  <sheetViews>
    <sheetView showGridLines="0" view="pageBreakPreview" zoomScaleNormal="100" zoomScaleSheetLayoutView="100" workbookViewId="0">
      <selection activeCell="H21" sqref="H21"/>
    </sheetView>
  </sheetViews>
  <sheetFormatPr defaultRowHeight="14.4" x14ac:dyDescent="0.3"/>
  <cols>
    <col min="2" max="2" width="1.88671875" customWidth="1"/>
    <col min="3" max="5" width="2.44140625" customWidth="1"/>
    <col min="9" max="9" width="1.88671875" customWidth="1"/>
    <col min="10" max="21" width="10.6640625" customWidth="1"/>
    <col min="22" max="23" width="1.88671875" customWidth="1"/>
    <col min="27" max="27" width="10.6640625" customWidth="1"/>
    <col min="29" max="29" width="10.6640625" customWidth="1"/>
  </cols>
  <sheetData>
    <row r="2" spans="2:22" x14ac:dyDescent="0.3">
      <c r="U2" s="227" t="str">
        <f>UPPER("Currently Running " &amp; CHOOSE('Assumptions&amp;Scenario'!H88, 'Assumptions&amp;Scenario'!D102,'Assumptions&amp;Scenario'!D103,'Assumptions&amp;Scenario'!D104) &amp; " Scenario")</f>
      </c>
    </row>
    <row r="3" spans="2:22" ht="18" x14ac:dyDescent="0.35">
      <c r="B3" s="148" t="str">
        <f>'Assumptions&amp;Scenario'!$K$10</f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 spans="2:22" ht="18" thickBot="1" x14ac:dyDescent="0.35">
      <c r="B4" s="47" t="s">
        <v>184</v>
      </c>
      <c r="C4" s="48"/>
      <c r="D4" s="48"/>
      <c r="E4" s="48"/>
      <c r="F4" s="48"/>
      <c r="G4" s="48"/>
      <c r="H4" s="49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5" spans="2:22" ht="15" thickBot="1" x14ac:dyDescent="0.35">
      <c r="C5" s="2"/>
      <c r="D5" s="2"/>
      <c r="E5" s="2"/>
      <c r="F5" s="2"/>
      <c r="L5" s="42" t="s">
        <v>141</v>
      </c>
      <c r="M5" s="42"/>
      <c r="N5" s="42"/>
      <c r="O5" s="42"/>
      <c r="P5" s="42"/>
      <c r="Q5" s="42"/>
      <c r="R5" s="42"/>
      <c r="S5" s="42"/>
      <c r="T5" s="42"/>
      <c r="U5" s="42"/>
    </row>
    <row r="6" spans="2:22" ht="16.2" thickTop="1" x14ac:dyDescent="0.3">
      <c r="C6" s="43" t="s">
        <v>389</v>
      </c>
      <c r="D6" s="43"/>
      <c r="E6" s="43"/>
      <c r="F6" s="43"/>
      <c r="G6" s="43"/>
      <c r="H6" s="44"/>
      <c r="I6" s="44"/>
      <c r="J6" s="44" t="str">
        <f>"FY"&amp;TEXT(RIGHT(K6,2)-(COLUMN(K6)-COLUMN()),"00")</f>
      </c>
      <c r="K6" s="44" t="str">
        <f>"FY"&amp;TEXT(DATE(YEAR('Data Sheet'!$K$16)+(MONTH('Data Sheet'!$K$16)&gt;3),1,1),"YY")</f>
      </c>
      <c r="L6" s="44" t="str">
        <f t="shared" ref="L6:U6" si="0">"FY"&amp;TEXT(RIGHT(K6,2)+COLUMN()-COLUMN(K6),"00")</f>
      </c>
      <c r="M6" s="44" t="str">
        <f t="shared" si="0"/>
      </c>
      <c r="N6" s="44" t="str">
        <f t="shared" si="0"/>
      </c>
      <c r="O6" s="44" t="str">
        <f t="shared" si="0"/>
      </c>
      <c r="P6" s="44" t="str">
        <f t="shared" si="0"/>
      </c>
      <c r="Q6" s="44" t="str">
        <f t="shared" si="0"/>
      </c>
      <c r="R6" s="44" t="str">
        <f t="shared" si="0"/>
      </c>
      <c r="S6" s="44" t="str">
        <f t="shared" si="0"/>
      </c>
      <c r="T6" s="44" t="str">
        <f t="shared" si="0"/>
      </c>
      <c r="U6" s="44" t="str">
        <f t="shared" si="0"/>
      </c>
    </row>
    <row r="7" spans="2:22" ht="3" customHeight="1" x14ac:dyDescent="0.3"/>
    <row r="8" spans="2:22" ht="3" customHeight="1" x14ac:dyDescent="0.3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2:22" ht="3" customHeight="1" thickBot="1" x14ac:dyDescent="0.35"/>
    <row r="10" spans="2:22" ht="15" thickBot="1" x14ac:dyDescent="0.35">
      <c r="C10" t="s">
        <v>180</v>
      </c>
      <c r="H10" s="248">
        <f>'Assumptions&amp;Scenario'!K43</f>
      </c>
    </row>
    <row r="11" spans="2:22" ht="18" x14ac:dyDescent="0.35">
      <c r="C11" s="24" t="s">
        <v>181</v>
      </c>
    </row>
    <row r="12" spans="2:22" ht="15" thickBot="1" x14ac:dyDescent="0.35">
      <c r="D12" t="s">
        <v>402</v>
      </c>
      <c r="L12" s="150">
        <f>'Assumptions&amp;Scenario'!L112</f>
      </c>
      <c r="M12" s="150">
        <f>'Assumptions&amp;Scenario'!M112</f>
      </c>
      <c r="N12" s="150">
        <f>'Assumptions&amp;Scenario'!N112</f>
      </c>
      <c r="O12" s="150">
        <f>'Assumptions&amp;Scenario'!O112</f>
      </c>
      <c r="P12" s="150">
        <f>'Assumptions&amp;Scenario'!P112</f>
      </c>
      <c r="Q12" s="150">
        <f>'Assumptions&amp;Scenario'!Q112</f>
      </c>
      <c r="R12" s="150">
        <f>'Assumptions&amp;Scenario'!R112</f>
      </c>
      <c r="S12" s="150">
        <f>'Assumptions&amp;Scenario'!S112</f>
      </c>
      <c r="T12" s="150">
        <f>'Assumptions&amp;Scenario'!T112</f>
      </c>
      <c r="U12" s="150">
        <f>'Assumptions&amp;Scenario'!U112</f>
      </c>
    </row>
    <row r="13" spans="2:22" ht="15" thickBot="1" x14ac:dyDescent="0.35">
      <c r="D13" t="s">
        <v>41</v>
      </c>
      <c r="H13" s="81" t="str">
        <f>'Assumptions&amp;Scenario'!K44</f>
      </c>
      <c r="J13" s="71">
        <f>HistoricalData!T40</f>
      </c>
      <c r="K13" s="71">
        <f>HistoricalData!U40</f>
      </c>
      <c r="L13" s="71">
        <f>K13*(1+L12)</f>
      </c>
      <c r="M13" s="71">
        <f t="shared" ref="M13:U13" si="1">L13*(1+M12)</f>
      </c>
      <c r="N13" s="71">
        <f t="shared" si="1"/>
      </c>
      <c r="O13" s="71">
        <f t="shared" si="1"/>
      </c>
      <c r="P13" s="71">
        <f t="shared" si="1"/>
      </c>
      <c r="Q13" s="71">
        <f t="shared" si="1"/>
      </c>
      <c r="R13" s="71">
        <f t="shared" si="1"/>
      </c>
      <c r="S13" s="71">
        <f t="shared" si="1"/>
      </c>
      <c r="T13" s="71">
        <f t="shared" si="1"/>
      </c>
      <c r="U13" s="71">
        <f t="shared" si="1"/>
      </c>
    </row>
    <row r="14" spans="2:22" ht="18" x14ac:dyDescent="0.35">
      <c r="C14" s="24" t="s">
        <v>72</v>
      </c>
    </row>
    <row r="15" spans="2:22" x14ac:dyDescent="0.3">
      <c r="D15" t="s">
        <v>139</v>
      </c>
      <c r="L15" s="151">
        <f>'Assumptions&amp;Scenario'!L106</f>
      </c>
      <c r="M15" s="151">
        <f>'Assumptions&amp;Scenario'!M106</f>
      </c>
      <c r="N15" s="151">
        <f>'Assumptions&amp;Scenario'!N106</f>
      </c>
      <c r="O15" s="151">
        <f>'Assumptions&amp;Scenario'!O106</f>
      </c>
      <c r="P15" s="151">
        <f>'Assumptions&amp;Scenario'!P106</f>
      </c>
      <c r="Q15" s="151">
        <f>'Assumptions&amp;Scenario'!Q106</f>
      </c>
      <c r="R15" s="151">
        <f>'Assumptions&amp;Scenario'!R106</f>
      </c>
      <c r="S15" s="151">
        <f>'Assumptions&amp;Scenario'!S106</f>
      </c>
      <c r="T15" s="151">
        <f>'Assumptions&amp;Scenario'!T106</f>
      </c>
      <c r="U15" s="151">
        <f>'Assumptions&amp;Scenario'!U106</f>
      </c>
    </row>
    <row r="16" spans="2:22" ht="15" thickBot="1" x14ac:dyDescent="0.35">
      <c r="D16" t="s">
        <v>140</v>
      </c>
      <c r="L16" s="150">
        <f>'Assumptions&amp;Scenario'!L118</f>
      </c>
      <c r="M16" s="150">
        <f>'Assumptions&amp;Scenario'!M118</f>
      </c>
      <c r="N16" s="150">
        <f>'Assumptions&amp;Scenario'!N118</f>
      </c>
      <c r="O16" s="150">
        <f>'Assumptions&amp;Scenario'!O118</f>
      </c>
      <c r="P16" s="150">
        <f>'Assumptions&amp;Scenario'!P118</f>
      </c>
      <c r="Q16" s="150">
        <f>'Assumptions&amp;Scenario'!Q118</f>
      </c>
      <c r="R16" s="150">
        <f>'Assumptions&amp;Scenario'!R118</f>
      </c>
      <c r="S16" s="150">
        <f>'Assumptions&amp;Scenario'!S118</f>
      </c>
      <c r="T16" s="150">
        <f>'Assumptions&amp;Scenario'!T118</f>
      </c>
      <c r="U16" s="150">
        <f>'Assumptions&amp;Scenario'!U118</f>
      </c>
    </row>
    <row r="17" spans="2:22" ht="15" thickBot="1" x14ac:dyDescent="0.35">
      <c r="D17" t="s">
        <v>72</v>
      </c>
      <c r="H17" s="81" t="str">
        <f>'Assumptions&amp;Scenario'!K42</f>
      </c>
      <c r="J17" s="71">
        <f>HistoricalData!T37</f>
      </c>
      <c r="K17" s="71">
        <f>HistoricalData!U37</f>
      </c>
      <c r="L17" s="71">
        <f>K17*(1+L16)</f>
      </c>
      <c r="M17" s="71">
        <f t="shared" ref="M17:U17" si="2">L17*(1+M16)</f>
      </c>
      <c r="N17" s="71">
        <f t="shared" si="2"/>
      </c>
      <c r="O17" s="71">
        <f t="shared" si="2"/>
      </c>
      <c r="P17" s="71">
        <f t="shared" si="2"/>
      </c>
      <c r="Q17" s="71">
        <f t="shared" si="2"/>
      </c>
      <c r="R17" s="71">
        <f t="shared" si="2"/>
      </c>
      <c r="S17" s="71">
        <f t="shared" si="2"/>
      </c>
      <c r="T17" s="71">
        <f t="shared" si="2"/>
      </c>
      <c r="U17" s="71">
        <f t="shared" si="2"/>
      </c>
    </row>
    <row r="18" spans="2:22" x14ac:dyDescent="0.3">
      <c r="D18" t="s">
        <v>182</v>
      </c>
      <c r="L18" s="169">
        <f>IFERROR(L17/L15, 0)</f>
      </c>
      <c r="M18" s="169">
        <f t="shared" ref="M18:U18" si="3">IFERROR(M17/M15, 0)</f>
      </c>
      <c r="N18" s="169">
        <f t="shared" si="3"/>
      </c>
      <c r="O18" s="169">
        <f t="shared" si="3"/>
      </c>
      <c r="P18" s="169">
        <f t="shared" si="3"/>
      </c>
      <c r="Q18" s="169">
        <f t="shared" si="3"/>
      </c>
      <c r="R18" s="169">
        <f t="shared" si="3"/>
      </c>
      <c r="S18" s="169">
        <f t="shared" si="3"/>
      </c>
      <c r="T18" s="169">
        <f t="shared" si="3"/>
      </c>
      <c r="U18" s="169">
        <f t="shared" si="3"/>
      </c>
    </row>
    <row r="20" spans="2:22" ht="18" x14ac:dyDescent="0.35">
      <c r="C20" s="24" t="s">
        <v>83</v>
      </c>
    </row>
    <row r="21" spans="2:22" ht="15" thickBot="1" x14ac:dyDescent="0.35">
      <c r="D21" s="2" t="s">
        <v>83</v>
      </c>
      <c r="H21" s="164" t="s">
        <v>134</v>
      </c>
      <c r="J21" s="84"/>
      <c r="K21" s="84"/>
      <c r="L21" s="213">
        <f>L13*L17/$H$10</f>
      </c>
      <c r="M21" s="213">
        <f t="shared" ref="M21:U21" si="4">M13*M17/$H$10</f>
      </c>
      <c r="N21" s="213">
        <f t="shared" si="4"/>
      </c>
      <c r="O21" s="213">
        <f t="shared" si="4"/>
      </c>
      <c r="P21" s="213">
        <f t="shared" si="4"/>
      </c>
      <c r="Q21" s="213">
        <f t="shared" si="4"/>
      </c>
      <c r="R21" s="213">
        <f t="shared" si="4"/>
      </c>
      <c r="S21" s="213">
        <f t="shared" si="4"/>
      </c>
      <c r="T21" s="213">
        <f t="shared" si="4"/>
      </c>
      <c r="U21" s="213">
        <f t="shared" si="4"/>
      </c>
    </row>
    <row r="22" spans="2:22" ht="15" thickBot="1" x14ac:dyDescent="0.35">
      <c r="D22" s="2" t="s">
        <v>615</v>
      </c>
      <c r="H22" s="165">
        <v>1</v>
      </c>
      <c r="J22" s="15"/>
      <c r="K22" s="15"/>
      <c r="L22" s="152">
        <f>'Assumptions&amp;Scenario'!L130</f>
      </c>
      <c r="M22" s="152">
        <f>'Assumptions&amp;Scenario'!M130</f>
      </c>
      <c r="N22" s="152">
        <f>'Assumptions&amp;Scenario'!N130</f>
      </c>
      <c r="O22" s="152">
        <f>'Assumptions&amp;Scenario'!O130</f>
      </c>
      <c r="P22" s="152">
        <f>'Assumptions&amp;Scenario'!P130</f>
      </c>
      <c r="Q22" s="152">
        <f>'Assumptions&amp;Scenario'!Q130</f>
      </c>
      <c r="R22" s="152">
        <f>'Assumptions&amp;Scenario'!R130</f>
      </c>
      <c r="S22" s="152">
        <f>'Assumptions&amp;Scenario'!S130</f>
      </c>
      <c r="T22" s="152">
        <f>'Assumptions&amp;Scenario'!T130</f>
      </c>
      <c r="U22" s="152">
        <f>'Assumptions&amp;Scenario'!U130</f>
      </c>
    </row>
    <row r="23" spans="2:22" ht="15" thickBot="1" x14ac:dyDescent="0.35">
      <c r="D23" s="2" t="s">
        <v>83</v>
      </c>
      <c r="H23" s="77" t="str">
        <f>HistoricalData!H10</f>
      </c>
      <c r="J23" s="110">
        <f>HistoricalData!T10</f>
      </c>
      <c r="K23" s="110">
        <f>HistoricalData!U10</f>
      </c>
      <c r="L23" s="110">
        <f>L21*L22/$H22</f>
      </c>
      <c r="M23" s="110">
        <f t="shared" ref="M23:U23" si="5">M21*M22/$H22</f>
      </c>
      <c r="N23" s="110">
        <f t="shared" si="5"/>
      </c>
      <c r="O23" s="110">
        <f t="shared" si="5"/>
      </c>
      <c r="P23" s="110">
        <f t="shared" si="5"/>
      </c>
      <c r="Q23" s="110">
        <f t="shared" si="5"/>
      </c>
      <c r="R23" s="110">
        <f t="shared" si="5"/>
      </c>
      <c r="S23" s="110">
        <f t="shared" si="5"/>
      </c>
      <c r="T23" s="110">
        <f t="shared" si="5"/>
      </c>
      <c r="U23" s="110">
        <f t="shared" si="5"/>
      </c>
    </row>
    <row r="24" spans="2:22" ht="15" thickTop="1" x14ac:dyDescent="0.3">
      <c r="D24" s="78" t="s">
        <v>84</v>
      </c>
      <c r="K24" s="92">
        <f>IFERROR(K23/J23-1, 0)</f>
      </c>
      <c r="L24" s="92">
        <f t="shared" ref="L24:U24" si="6">IFERROR(L23/K23-1, 0)</f>
      </c>
      <c r="M24" s="92">
        <f t="shared" si="6"/>
      </c>
      <c r="N24" s="92">
        <f t="shared" si="6"/>
      </c>
      <c r="O24" s="92">
        <f t="shared" si="6"/>
      </c>
      <c r="P24" s="92">
        <f t="shared" si="6"/>
      </c>
      <c r="Q24" s="92">
        <f t="shared" si="6"/>
      </c>
      <c r="R24" s="92">
        <f t="shared" si="6"/>
      </c>
      <c r="S24" s="92">
        <f t="shared" si="6"/>
      </c>
      <c r="T24" s="92">
        <f t="shared" si="6"/>
      </c>
      <c r="U24" s="92">
        <f t="shared" si="6"/>
      </c>
    </row>
    <row r="27" spans="2:22" x14ac:dyDescent="0.3">
      <c r="U27" s="227" t="str">
        <f>$U$2</f>
      </c>
    </row>
    <row r="28" spans="2:22" ht="18" x14ac:dyDescent="0.35">
      <c r="B28" s="148" t="str">
        <f>'Assumptions&amp;Scenario'!$K$10</f>
      </c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</row>
    <row r="29" spans="2:22" ht="18" thickBot="1" x14ac:dyDescent="0.35">
      <c r="B29" s="47" t="s">
        <v>406</v>
      </c>
      <c r="C29" s="48"/>
      <c r="D29" s="48"/>
      <c r="E29" s="48"/>
      <c r="F29" s="48"/>
      <c r="G29" s="48"/>
      <c r="H29" s="49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</row>
    <row r="30" spans="2:22" ht="15" thickBot="1" x14ac:dyDescent="0.35">
      <c r="C30" s="2"/>
      <c r="D30" s="2"/>
      <c r="E30" s="2"/>
      <c r="F30" s="2"/>
      <c r="L30" s="80" t="s">
        <v>141</v>
      </c>
      <c r="M30" s="80"/>
      <c r="N30" s="42"/>
      <c r="O30" s="42"/>
      <c r="P30" s="42"/>
      <c r="Q30" s="42"/>
      <c r="R30" s="42"/>
      <c r="S30" s="42"/>
      <c r="T30" s="42"/>
      <c r="U30" s="42"/>
    </row>
    <row r="31" spans="2:22" ht="16.2" thickTop="1" x14ac:dyDescent="0.3">
      <c r="C31" s="43" t="s">
        <v>25</v>
      </c>
      <c r="D31" s="43"/>
      <c r="E31" s="43"/>
      <c r="F31" s="43"/>
      <c r="G31" s="43"/>
      <c r="H31" s="44"/>
      <c r="I31" s="44"/>
      <c r="J31" s="44" t="str">
        <f>"FY"&amp;TEXT(MID(K31,3,2)-IF(RIGHT(K31,1)="1",1,0),"00")&amp;"Q"&amp;CHOOSE(RIGHT(K31,1)+0,4,1,2,3)</f>
      </c>
      <c r="K31" s="44" t="str">
        <f>"FY"&amp;TEXT(MID(L31,3,2)-IF(RIGHT(L31,1)="1",1,0),"00")&amp;"Q"&amp;CHOOSE(RIGHT(L31,1)+0,4,1,2,3)</f>
      </c>
      <c r="L31" s="44" t="str">
        <f>"FY"&amp;TEXT(MID(M31,3,2)-IF(RIGHT(M31,1)="1",1,0),"00")&amp;"Q"&amp;CHOOSE(RIGHT(M31,1)+0,4,1,2,3)</f>
      </c>
      <c r="M31" s="44" t="str">
        <f>"FY"&amp;TEXT(YEAR('Data Sheet'!$K$41)+(MONTH('Data Sheet'!$K$41)&gt;3)-2000,"00")&amp;"Q"&amp;INT((MOD(MONTH('Data Sheet'!$K$41)-4,12))/3)+1</f>
      </c>
      <c r="N31" s="44" t="str">
        <f t="shared" ref="N31:U31" si="7">"FY"&amp;TEXT(MID(M31,3,2)+IF(RIGHT(M31,1)="4",1,0),"00")&amp;"Q"&amp;MOD(RIGHT(M31,1),4)+1</f>
      </c>
      <c r="O31" s="44" t="str">
        <f t="shared" si="7"/>
      </c>
      <c r="P31" s="44" t="str">
        <f t="shared" si="7"/>
      </c>
      <c r="Q31" s="44" t="str">
        <f t="shared" si="7"/>
      </c>
      <c r="R31" s="44" t="str">
        <f t="shared" si="7"/>
      </c>
      <c r="S31" s="44" t="str">
        <f t="shared" si="7"/>
      </c>
      <c r="T31" s="44" t="str">
        <f t="shared" si="7"/>
      </c>
      <c r="U31" s="44" t="str">
        <f t="shared" si="7"/>
      </c>
    </row>
    <row r="32" spans="2:22" ht="3" customHeight="1" x14ac:dyDescent="0.3"/>
    <row r="33" spans="3:21" ht="3" customHeight="1" x14ac:dyDescent="0.3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3:21" ht="3" customHeight="1" thickBot="1" x14ac:dyDescent="0.35"/>
    <row r="35" spans="3:21" ht="15" thickBot="1" x14ac:dyDescent="0.35">
      <c r="C35" t="s">
        <v>180</v>
      </c>
      <c r="H35" s="248">
        <f>$H$10</f>
      </c>
    </row>
    <row r="36" spans="3:21" ht="18" x14ac:dyDescent="0.35">
      <c r="C36" s="24" t="s">
        <v>181</v>
      </c>
    </row>
    <row r="37" spans="3:21" ht="15" thickBot="1" x14ac:dyDescent="0.35">
      <c r="D37" t="s">
        <v>402</v>
      </c>
      <c r="N37" s="150">
        <f>'Assumptions&amp;Scenario'!N159</f>
      </c>
      <c r="O37" s="150">
        <f>'Assumptions&amp;Scenario'!O159</f>
      </c>
      <c r="P37" s="150">
        <f>'Assumptions&amp;Scenario'!P159</f>
      </c>
      <c r="Q37" s="150">
        <f>'Assumptions&amp;Scenario'!Q159</f>
      </c>
      <c r="R37" s="150">
        <f>'Assumptions&amp;Scenario'!R159</f>
      </c>
      <c r="S37" s="150">
        <f>'Assumptions&amp;Scenario'!S159</f>
      </c>
      <c r="T37" s="150">
        <f>'Assumptions&amp;Scenario'!T159</f>
      </c>
      <c r="U37" s="150">
        <f>'Assumptions&amp;Scenario'!U159</f>
      </c>
    </row>
    <row r="38" spans="3:21" ht="15" thickBot="1" x14ac:dyDescent="0.35">
      <c r="D38" t="s">
        <v>41</v>
      </c>
      <c r="H38" s="81" t="str">
        <f>$H$13</f>
      </c>
      <c r="J38" s="71">
        <f>HistoricalData!R124</f>
      </c>
      <c r="K38" s="71">
        <f>HistoricalData!S124</f>
      </c>
      <c r="L38" s="71">
        <f>HistoricalData!T124</f>
      </c>
      <c r="M38" s="71">
        <f>HistoricalData!U124</f>
      </c>
      <c r="N38" s="71">
        <f>J38*(1+N37)</f>
      </c>
      <c r="O38" s="71">
        <f t="shared" ref="O38:U38" si="8">K38*(1+O37)</f>
      </c>
      <c r="P38" s="71">
        <f t="shared" si="8"/>
      </c>
      <c r="Q38" s="71">
        <f t="shared" si="8"/>
      </c>
      <c r="R38" s="71">
        <f t="shared" si="8"/>
      </c>
      <c r="S38" s="71">
        <f t="shared" si="8"/>
      </c>
      <c r="T38" s="71">
        <f t="shared" si="8"/>
      </c>
      <c r="U38" s="71">
        <f t="shared" si="8"/>
      </c>
    </row>
    <row r="39" spans="3:21" ht="18" x14ac:dyDescent="0.35">
      <c r="C39" s="24" t="s">
        <v>72</v>
      </c>
    </row>
    <row r="40" spans="3:21" x14ac:dyDescent="0.3">
      <c r="D40" t="s">
        <v>139</v>
      </c>
      <c r="N40" s="151">
        <f>'Assumptions&amp;Scenario'!K41</f>
      </c>
      <c r="O40" s="40">
        <f>N40</f>
      </c>
      <c r="P40" s="40">
        <f t="shared" ref="P40:U40" si="9">O40</f>
      </c>
      <c r="Q40" s="40">
        <f t="shared" si="9"/>
      </c>
      <c r="R40" s="40">
        <f t="shared" si="9"/>
      </c>
      <c r="S40" s="40">
        <f t="shared" si="9"/>
      </c>
      <c r="T40" s="40">
        <f t="shared" si="9"/>
      </c>
      <c r="U40" s="40">
        <f t="shared" si="9"/>
      </c>
    </row>
    <row r="41" spans="3:21" ht="15" thickBot="1" x14ac:dyDescent="0.35">
      <c r="D41" t="s">
        <v>140</v>
      </c>
      <c r="N41" s="150">
        <f>'Assumptions&amp;Scenario'!N165</f>
      </c>
      <c r="O41" s="150">
        <f>'Assumptions&amp;Scenario'!O165</f>
      </c>
      <c r="P41" s="150">
        <f>'Assumptions&amp;Scenario'!P165</f>
      </c>
      <c r="Q41" s="150">
        <f>'Assumptions&amp;Scenario'!Q165</f>
      </c>
      <c r="R41" s="150">
        <f>'Assumptions&amp;Scenario'!R165</f>
      </c>
      <c r="S41" s="150">
        <f>'Assumptions&amp;Scenario'!S165</f>
      </c>
      <c r="T41" s="150">
        <f>'Assumptions&amp;Scenario'!T165</f>
      </c>
      <c r="U41" s="150">
        <f>'Assumptions&amp;Scenario'!U165</f>
      </c>
    </row>
    <row r="42" spans="3:21" ht="15" thickBot="1" x14ac:dyDescent="0.35">
      <c r="D42" t="s">
        <v>72</v>
      </c>
      <c r="H42" s="81" t="str">
        <f>$H$17</f>
      </c>
      <c r="J42" s="71">
        <f>HistoricalData!R121</f>
      </c>
      <c r="K42" s="71">
        <f>HistoricalData!S121</f>
      </c>
      <c r="L42" s="71">
        <f>HistoricalData!T121</f>
      </c>
      <c r="M42" s="71">
        <f>HistoricalData!U121</f>
      </c>
      <c r="N42" s="71">
        <f>J42*(1+N41)</f>
      </c>
      <c r="O42" s="71">
        <f t="shared" ref="O42:U42" si="10">K42*(1+O41)</f>
      </c>
      <c r="P42" s="71">
        <f t="shared" si="10"/>
      </c>
      <c r="Q42" s="71">
        <f t="shared" si="10"/>
      </c>
      <c r="R42" s="71">
        <f t="shared" si="10"/>
      </c>
      <c r="S42" s="71">
        <f t="shared" si="10"/>
      </c>
      <c r="T42" s="71">
        <f t="shared" si="10"/>
      </c>
      <c r="U42" s="71">
        <f t="shared" si="10"/>
      </c>
    </row>
    <row r="43" spans="3:21" x14ac:dyDescent="0.3">
      <c r="D43" t="s">
        <v>182</v>
      </c>
      <c r="N43" s="58">
        <f>IFERROR(SUM(K42:N42)/N40, 0)</f>
      </c>
      <c r="O43" s="58">
        <f t="shared" ref="O43:U43" si="11">IFERROR(SUM(L42:O42)/O40, 0)</f>
      </c>
      <c r="P43" s="58">
        <f t="shared" si="11"/>
      </c>
      <c r="Q43" s="58">
        <f t="shared" si="11"/>
      </c>
      <c r="R43" s="58">
        <f t="shared" si="11"/>
      </c>
      <c r="S43" s="58">
        <f t="shared" si="11"/>
      </c>
      <c r="T43" s="58">
        <f t="shared" si="11"/>
      </c>
      <c r="U43" s="58">
        <f t="shared" si="11"/>
      </c>
    </row>
    <row r="45" spans="3:21" ht="18" x14ac:dyDescent="0.35">
      <c r="C45" s="24" t="s">
        <v>83</v>
      </c>
    </row>
    <row r="46" spans="3:21" ht="15" thickBot="1" x14ac:dyDescent="0.35">
      <c r="D46" s="2" t="s">
        <v>83</v>
      </c>
      <c r="H46" s="87" t="str">
        <f>$H$21</f>
      </c>
      <c r="J46" s="84"/>
      <c r="K46" s="84"/>
      <c r="L46" s="213"/>
      <c r="M46" s="213"/>
      <c r="N46" s="213">
        <f t="shared" ref="N46:U46" si="12">N38*N42/$H$35</f>
      </c>
      <c r="O46" s="213">
        <f t="shared" si="12"/>
      </c>
      <c r="P46" s="213">
        <f t="shared" si="12"/>
      </c>
      <c r="Q46" s="213">
        <f t="shared" si="12"/>
      </c>
      <c r="R46" s="213">
        <f t="shared" si="12"/>
      </c>
      <c r="S46" s="213">
        <f t="shared" si="12"/>
      </c>
      <c r="T46" s="213">
        <f t="shared" si="12"/>
      </c>
      <c r="U46" s="213">
        <f t="shared" si="12"/>
      </c>
    </row>
    <row r="47" spans="3:21" ht="15" thickBot="1" x14ac:dyDescent="0.35">
      <c r="D47" s="2" t="s">
        <v>390</v>
      </c>
      <c r="H47" s="88">
        <f>$H$22</f>
      </c>
      <c r="N47" s="152">
        <f>'Assumptions&amp;Scenario'!N171</f>
      </c>
      <c r="O47" s="152">
        <f>'Assumptions&amp;Scenario'!O171</f>
      </c>
      <c r="P47" s="152">
        <f>'Assumptions&amp;Scenario'!P171</f>
      </c>
      <c r="Q47" s="152">
        <f>'Assumptions&amp;Scenario'!Q171</f>
      </c>
      <c r="R47" s="152">
        <f>'Assumptions&amp;Scenario'!R171</f>
      </c>
      <c r="S47" s="152">
        <f>'Assumptions&amp;Scenario'!S171</f>
      </c>
      <c r="T47" s="152">
        <f>'Assumptions&amp;Scenario'!T171</f>
      </c>
      <c r="U47" s="152">
        <f>'Assumptions&amp;Scenario'!U171</f>
      </c>
    </row>
    <row r="48" spans="3:21" ht="15" thickBot="1" x14ac:dyDescent="0.35">
      <c r="D48" s="2" t="s">
        <v>83</v>
      </c>
      <c r="H48" s="77" t="str">
        <f>H23</f>
      </c>
      <c r="J48" s="110">
        <f>HistoricalData!R94</f>
      </c>
      <c r="K48" s="110">
        <f>HistoricalData!S94</f>
      </c>
      <c r="L48" s="110">
        <f>HistoricalData!T94</f>
      </c>
      <c r="M48" s="110">
        <f>HistoricalData!U94</f>
      </c>
      <c r="N48" s="110">
        <f>N46*N47/$H47</f>
      </c>
      <c r="O48" s="110">
        <f t="shared" ref="O48:U48" si="13">O46*O47/$H47</f>
      </c>
      <c r="P48" s="110">
        <f t="shared" si="13"/>
      </c>
      <c r="Q48" s="110">
        <f t="shared" si="13"/>
      </c>
      <c r="R48" s="110">
        <f t="shared" si="13"/>
      </c>
      <c r="S48" s="110">
        <f t="shared" si="13"/>
      </c>
      <c r="T48" s="110">
        <f t="shared" si="13"/>
      </c>
      <c r="U48" s="110">
        <f t="shared" si="13"/>
      </c>
    </row>
    <row r="49" spans="2:22" ht="15" thickTop="1" x14ac:dyDescent="0.3">
      <c r="D49" s="78" t="s">
        <v>84</v>
      </c>
      <c r="N49" s="92">
        <f>IFERROR(N48/J48-1, 0)</f>
      </c>
      <c r="O49" s="92">
        <f t="shared" ref="O49:U49" si="14">IFERROR(O48/K48-1, 0)</f>
      </c>
      <c r="P49" s="92">
        <f t="shared" si="14"/>
      </c>
      <c r="Q49" s="92">
        <f t="shared" si="14"/>
      </c>
      <c r="R49" s="92">
        <f t="shared" si="14"/>
      </c>
      <c r="S49" s="92">
        <f t="shared" si="14"/>
      </c>
      <c r="T49" s="92">
        <f t="shared" si="14"/>
      </c>
      <c r="U49" s="92">
        <f t="shared" si="14"/>
      </c>
    </row>
    <row r="52" spans="2:22" x14ac:dyDescent="0.3">
      <c r="U52" s="227" t="str">
        <f>$U$2</f>
      </c>
    </row>
    <row r="53" spans="2:22" ht="18" x14ac:dyDescent="0.35">
      <c r="B53" s="148" t="str">
        <f>'Assumptions&amp;Scenario'!$K$10</f>
      </c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</row>
    <row r="54" spans="2:22" ht="18" thickBot="1" x14ac:dyDescent="0.35">
      <c r="B54" s="47" t="s">
        <v>399</v>
      </c>
      <c r="C54" s="48"/>
      <c r="D54" s="48"/>
      <c r="E54" s="48"/>
      <c r="F54" s="48"/>
      <c r="G54" s="48"/>
      <c r="H54" s="49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</row>
    <row r="55" spans="2:22" ht="15" thickBot="1" x14ac:dyDescent="0.35">
      <c r="C55" s="2"/>
      <c r="D55" s="2"/>
      <c r="E55" s="2"/>
      <c r="F55" s="2"/>
      <c r="L55" s="42" t="s">
        <v>141</v>
      </c>
      <c r="M55" s="42"/>
      <c r="N55" s="42"/>
      <c r="O55" s="42"/>
      <c r="P55" s="42"/>
      <c r="Q55" s="42"/>
      <c r="R55" s="42"/>
      <c r="S55" s="42"/>
      <c r="T55" s="42"/>
      <c r="U55" s="42"/>
    </row>
    <row r="56" spans="2:22" ht="16.2" thickTop="1" x14ac:dyDescent="0.3">
      <c r="C56" s="43" t="s">
        <v>389</v>
      </c>
      <c r="D56" s="43"/>
      <c r="E56" s="43"/>
      <c r="F56" s="43"/>
      <c r="G56" s="43"/>
      <c r="H56" s="44"/>
      <c r="I56" s="44"/>
      <c r="J56" s="44" t="str">
        <f>"FY"&amp;TEXT(RIGHT(K56,2)-(COLUMN(K56)-COLUMN()),"00")</f>
      </c>
      <c r="K56" s="44" t="str">
        <f>"FY"&amp;TEXT(DATE(YEAR('Data Sheet'!$K$16)+(MONTH('Data Sheet'!$K$16)&gt;3),1,1),"YY")</f>
      </c>
      <c r="L56" s="44" t="str">
        <f t="shared" ref="L56" si="15">"FY"&amp;TEXT(RIGHT(K56,2)+COLUMN()-COLUMN(K56),"00")</f>
      </c>
      <c r="M56" s="44" t="str">
        <f t="shared" ref="M56" si="16">"FY"&amp;TEXT(RIGHT(L56,2)+COLUMN()-COLUMN(L56),"00")</f>
      </c>
      <c r="N56" s="44" t="str">
        <f t="shared" ref="N56" si="17">"FY"&amp;TEXT(RIGHT(M56,2)+COLUMN()-COLUMN(M56),"00")</f>
      </c>
      <c r="O56" s="44" t="str">
        <f t="shared" ref="O56" si="18">"FY"&amp;TEXT(RIGHT(N56,2)+COLUMN()-COLUMN(N56),"00")</f>
      </c>
      <c r="P56" s="44" t="str">
        <f t="shared" ref="P56" si="19">"FY"&amp;TEXT(RIGHT(O56,2)+COLUMN()-COLUMN(O56),"00")</f>
      </c>
      <c r="Q56" s="44" t="str">
        <f t="shared" ref="Q56" si="20">"FY"&amp;TEXT(RIGHT(P56,2)+COLUMN()-COLUMN(P56),"00")</f>
      </c>
      <c r="R56" s="44" t="str">
        <f t="shared" ref="R56" si="21">"FY"&amp;TEXT(RIGHT(Q56,2)+COLUMN()-COLUMN(Q56),"00")</f>
      </c>
      <c r="S56" s="44" t="str">
        <f t="shared" ref="S56" si="22">"FY"&amp;TEXT(RIGHT(R56,2)+COLUMN()-COLUMN(R56),"00")</f>
      </c>
      <c r="T56" s="44" t="str">
        <f t="shared" ref="T56" si="23">"FY"&amp;TEXT(RIGHT(S56,2)+COLUMN()-COLUMN(S56),"00")</f>
      </c>
      <c r="U56" s="44" t="str">
        <f t="shared" ref="U56" si="24">"FY"&amp;TEXT(RIGHT(T56,2)+COLUMN()-COLUMN(T56),"00")</f>
      </c>
    </row>
    <row r="57" spans="2:22" ht="3" customHeight="1" x14ac:dyDescent="0.3"/>
    <row r="58" spans="2:22" ht="3" customHeight="1" x14ac:dyDescent="0.3"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2:22" ht="3" customHeight="1" x14ac:dyDescent="0.3"/>
    <row r="60" spans="2:22" ht="18" x14ac:dyDescent="0.35">
      <c r="C60" s="24" t="s">
        <v>394</v>
      </c>
      <c r="H60" s="167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</row>
    <row r="61" spans="2:22" x14ac:dyDescent="0.3">
      <c r="C61" s="2" t="s">
        <v>221</v>
      </c>
      <c r="L61" s="150"/>
      <c r="M61" s="150"/>
      <c r="N61" s="150"/>
      <c r="O61" s="150"/>
      <c r="P61" s="150"/>
      <c r="Q61" s="150"/>
      <c r="R61" s="150"/>
      <c r="S61" s="150"/>
      <c r="T61" s="150"/>
      <c r="U61" s="150"/>
    </row>
    <row r="62" spans="2:22" x14ac:dyDescent="0.3">
      <c r="D62" s="12" t="str">
        <f>'Assumptions&amp;Scenario'!D26</f>
      </c>
      <c r="E62" s="19"/>
      <c r="L62" s="150">
        <f>'Assumptions&amp;Scenario'!L26</f>
      </c>
      <c r="M62" s="150">
        <f>'Assumptions&amp;Scenario'!M26</f>
      </c>
      <c r="N62" s="150"/>
      <c r="O62" s="150"/>
      <c r="P62" s="150"/>
      <c r="Q62" s="150"/>
      <c r="R62" s="150"/>
      <c r="S62" s="150"/>
      <c r="T62" s="150"/>
      <c r="U62" s="150"/>
    </row>
    <row r="63" spans="2:22" x14ac:dyDescent="0.3">
      <c r="D63" s="12" t="str">
        <f>'Assumptions&amp;Scenario'!D27</f>
      </c>
      <c r="E63" s="19"/>
      <c r="L63" s="150">
        <f>'Assumptions&amp;Scenario'!L27</f>
      </c>
      <c r="M63" s="150">
        <f>'Assumptions&amp;Scenario'!M27</f>
      </c>
      <c r="N63" s="150"/>
      <c r="O63" s="150"/>
      <c r="P63" s="150"/>
      <c r="Q63" s="150"/>
      <c r="R63" s="150"/>
      <c r="S63" s="150"/>
      <c r="T63" s="150"/>
      <c r="U63" s="150"/>
    </row>
    <row r="64" spans="2:22" x14ac:dyDescent="0.3">
      <c r="D64" s="12" t="str">
        <f>'Assumptions&amp;Scenario'!D28</f>
      </c>
      <c r="E64" s="19"/>
      <c r="L64" s="150">
        <f>'Assumptions&amp;Scenario'!L28</f>
      </c>
      <c r="M64" s="150">
        <f>'Assumptions&amp;Scenario'!M28</f>
      </c>
      <c r="N64" s="150"/>
      <c r="O64" s="150"/>
      <c r="P64" s="150"/>
      <c r="Q64" s="150"/>
      <c r="R64" s="150"/>
      <c r="S64" s="150"/>
      <c r="T64" s="150"/>
      <c r="U64" s="150"/>
    </row>
    <row r="65" spans="2:22" x14ac:dyDescent="0.3">
      <c r="D65" s="12" t="str">
        <f>'Assumptions&amp;Scenario'!D29</f>
      </c>
      <c r="E65" s="19"/>
      <c r="L65" s="150">
        <f>'Assumptions&amp;Scenario'!L29</f>
      </c>
      <c r="M65" s="150">
        <f>'Assumptions&amp;Scenario'!M29</f>
      </c>
      <c r="N65" s="150"/>
      <c r="O65" s="150"/>
      <c r="P65" s="150"/>
      <c r="Q65" s="150"/>
      <c r="R65" s="150"/>
      <c r="S65" s="150"/>
      <c r="T65" s="150"/>
      <c r="U65" s="150"/>
    </row>
    <row r="66" spans="2:22" x14ac:dyDescent="0.3">
      <c r="D66" s="12" t="str">
        <f>'Assumptions&amp;Scenario'!D30</f>
      </c>
      <c r="E66" s="19"/>
      <c r="L66" s="150">
        <f>'Assumptions&amp;Scenario'!L30</f>
      </c>
      <c r="M66" s="150">
        <f>'Assumptions&amp;Scenario'!M30</f>
      </c>
      <c r="N66" s="150"/>
      <c r="O66" s="150"/>
      <c r="P66" s="150"/>
      <c r="Q66" s="150"/>
      <c r="R66" s="150"/>
      <c r="S66" s="150"/>
      <c r="T66" s="150"/>
      <c r="U66" s="150"/>
    </row>
    <row r="67" spans="2:22" x14ac:dyDescent="0.3">
      <c r="D67" s="2" t="s">
        <v>223</v>
      </c>
      <c r="E67" s="2"/>
      <c r="L67" s="150">
        <f>'Assumptions&amp;Scenario'!L94</f>
      </c>
      <c r="M67" s="150">
        <f>'Assumptions&amp;Scenario'!M94</f>
      </c>
      <c r="N67" s="150">
        <f>'Assumptions&amp;Scenario'!N94</f>
      </c>
      <c r="O67" s="150">
        <f>'Assumptions&amp;Scenario'!O94</f>
      </c>
      <c r="P67" s="150">
        <f>'Assumptions&amp;Scenario'!P94</f>
      </c>
      <c r="Q67" s="150">
        <f>'Assumptions&amp;Scenario'!Q94</f>
      </c>
      <c r="R67" s="150">
        <f>'Assumptions&amp;Scenario'!R94</f>
      </c>
      <c r="S67" s="150">
        <f>'Assumptions&amp;Scenario'!S94</f>
      </c>
      <c r="T67" s="150">
        <f>'Assumptions&amp;Scenario'!T94</f>
      </c>
      <c r="U67" s="150">
        <f>'Assumptions&amp;Scenario'!U94</f>
      </c>
    </row>
    <row r="68" spans="2:22" ht="3" customHeight="1" x14ac:dyDescent="0.3">
      <c r="L68" s="150"/>
      <c r="M68" s="150"/>
      <c r="N68" s="150"/>
      <c r="O68" s="150"/>
      <c r="P68" s="150"/>
      <c r="Q68" s="150"/>
      <c r="R68" s="150"/>
      <c r="S68" s="150"/>
      <c r="T68" s="150"/>
      <c r="U68" s="150"/>
    </row>
    <row r="69" spans="2:22" x14ac:dyDescent="0.3">
      <c r="C69" s="2" t="s">
        <v>167</v>
      </c>
      <c r="D69" s="2"/>
      <c r="L69" s="150"/>
      <c r="M69" s="150"/>
      <c r="N69" s="150"/>
      <c r="O69" s="150"/>
      <c r="P69" s="150"/>
      <c r="Q69" s="150"/>
      <c r="R69" s="150"/>
      <c r="S69" s="150"/>
      <c r="T69" s="150"/>
      <c r="U69" s="150"/>
    </row>
    <row r="70" spans="2:22" x14ac:dyDescent="0.3">
      <c r="D70" s="12" t="str">
        <f>'Assumptions&amp;Scenario'!P26</f>
      </c>
      <c r="E70" s="19"/>
      <c r="L70" s="150">
        <f>'Assumptions&amp;Scenario'!T26</f>
      </c>
      <c r="M70" s="150">
        <f>'Assumptions&amp;Scenario'!U26</f>
      </c>
      <c r="N70" s="150"/>
      <c r="O70" s="150"/>
      <c r="P70" s="150"/>
      <c r="Q70" s="150"/>
      <c r="R70" s="150"/>
      <c r="S70" s="150"/>
      <c r="T70" s="150"/>
      <c r="U70" s="150"/>
    </row>
    <row r="71" spans="2:22" x14ac:dyDescent="0.3">
      <c r="D71" s="12" t="str">
        <f>'Assumptions&amp;Scenario'!P27</f>
      </c>
      <c r="E71" s="19"/>
      <c r="L71" s="150">
        <f>'Assumptions&amp;Scenario'!T27</f>
      </c>
      <c r="M71" s="150">
        <f>'Assumptions&amp;Scenario'!U27</f>
      </c>
      <c r="N71" s="150"/>
      <c r="O71" s="150"/>
      <c r="P71" s="150"/>
      <c r="Q71" s="150"/>
      <c r="R71" s="150"/>
      <c r="S71" s="150"/>
      <c r="T71" s="150"/>
      <c r="U71" s="150"/>
    </row>
    <row r="72" spans="2:22" x14ac:dyDescent="0.3">
      <c r="D72" s="12" t="str">
        <f>'Assumptions&amp;Scenario'!P28</f>
      </c>
      <c r="E72" s="19"/>
      <c r="L72" s="150">
        <f>'Assumptions&amp;Scenario'!T28</f>
      </c>
      <c r="M72" s="150">
        <f>'Assumptions&amp;Scenario'!U28</f>
      </c>
      <c r="N72" s="150"/>
      <c r="O72" s="150"/>
      <c r="P72" s="150"/>
      <c r="Q72" s="150"/>
      <c r="R72" s="150"/>
      <c r="S72" s="150"/>
      <c r="T72" s="150"/>
      <c r="U72" s="150"/>
    </row>
    <row r="73" spans="2:22" x14ac:dyDescent="0.3">
      <c r="D73" s="12" t="str">
        <f>'Assumptions&amp;Scenario'!P29</f>
      </c>
      <c r="E73" s="19"/>
      <c r="L73" s="150">
        <f>'Assumptions&amp;Scenario'!T29</f>
      </c>
      <c r="M73" s="150">
        <f>'Assumptions&amp;Scenario'!U29</f>
      </c>
      <c r="N73" s="150"/>
      <c r="O73" s="150"/>
      <c r="P73" s="150"/>
      <c r="Q73" s="150"/>
      <c r="R73" s="150"/>
      <c r="S73" s="150"/>
      <c r="T73" s="150"/>
      <c r="U73" s="150"/>
    </row>
    <row r="74" spans="2:22" x14ac:dyDescent="0.3">
      <c r="D74" s="12" t="str">
        <f>'Assumptions&amp;Scenario'!P30</f>
      </c>
      <c r="E74" s="19"/>
      <c r="L74" s="150">
        <f>'Assumptions&amp;Scenario'!T30</f>
      </c>
      <c r="M74" s="150">
        <f>'Assumptions&amp;Scenario'!U30</f>
      </c>
      <c r="N74" s="150"/>
      <c r="O74" s="150"/>
      <c r="P74" s="150"/>
      <c r="Q74" s="150"/>
      <c r="R74" s="150"/>
      <c r="S74" s="150"/>
      <c r="T74" s="150"/>
      <c r="U74" s="150"/>
    </row>
    <row r="75" spans="2:22" x14ac:dyDescent="0.3">
      <c r="D75" s="2" t="s">
        <v>224</v>
      </c>
      <c r="E75" s="2"/>
      <c r="L75" s="150">
        <f>'Assumptions&amp;Scenario'!L100</f>
      </c>
      <c r="M75" s="150">
        <f>'Assumptions&amp;Scenario'!M100</f>
      </c>
      <c r="N75" s="150">
        <f>'Assumptions&amp;Scenario'!N100</f>
      </c>
      <c r="O75" s="150">
        <f>'Assumptions&amp;Scenario'!O100</f>
      </c>
      <c r="P75" s="150">
        <f>'Assumptions&amp;Scenario'!P100</f>
      </c>
      <c r="Q75" s="150">
        <f>'Assumptions&amp;Scenario'!Q100</f>
      </c>
      <c r="R75" s="150">
        <f>'Assumptions&amp;Scenario'!R100</f>
      </c>
      <c r="S75" s="150">
        <f>'Assumptions&amp;Scenario'!S100</f>
      </c>
      <c r="T75" s="150">
        <f>'Assumptions&amp;Scenario'!T100</f>
      </c>
      <c r="U75" s="150">
        <f>'Assumptions&amp;Scenario'!U100</f>
      </c>
    </row>
    <row r="78" spans="2:22" x14ac:dyDescent="0.3">
      <c r="U78" s="227" t="str">
        <f>$U$2</f>
      </c>
    </row>
    <row r="79" spans="2:22" ht="18" x14ac:dyDescent="0.35">
      <c r="B79" s="148" t="str">
        <f>'Assumptions&amp;Scenario'!$K$10</f>
      </c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</row>
    <row r="80" spans="2:22" ht="18" thickBot="1" x14ac:dyDescent="0.35">
      <c r="B80" s="47" t="s">
        <v>403</v>
      </c>
      <c r="C80" s="48"/>
      <c r="D80" s="48"/>
      <c r="E80" s="48"/>
      <c r="F80" s="48"/>
      <c r="G80" s="48"/>
      <c r="H80" s="49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spans="3:21" ht="15" thickBot="1" x14ac:dyDescent="0.35">
      <c r="C81" s="2"/>
      <c r="D81" s="2"/>
      <c r="E81" s="2"/>
      <c r="F81" s="2"/>
      <c r="L81" s="42" t="s">
        <v>141</v>
      </c>
      <c r="M81" s="42"/>
      <c r="N81" s="42"/>
      <c r="O81" s="42"/>
      <c r="P81" s="42"/>
      <c r="Q81" s="42"/>
      <c r="R81" s="42"/>
      <c r="S81" s="42"/>
      <c r="T81" s="42"/>
      <c r="U81" s="42"/>
    </row>
    <row r="82" spans="3:21" ht="16.2" thickTop="1" x14ac:dyDescent="0.3">
      <c r="C82" s="43" t="s">
        <v>389</v>
      </c>
      <c r="D82" s="43"/>
      <c r="E82" s="43"/>
      <c r="F82" s="43"/>
      <c r="G82" s="43"/>
      <c r="H82" s="44"/>
      <c r="I82" s="44"/>
      <c r="J82" s="44" t="str">
        <f>"FY"&amp;TEXT(RIGHT(K82,2)-(COLUMN(K82)-COLUMN()),"00")</f>
      </c>
      <c r="K82" s="44" t="str">
        <f>"FY"&amp;TEXT(DATE(YEAR('Data Sheet'!$K$16)+(MONTH('Data Sheet'!$K$16)&gt;3),1,1),"YY")</f>
      </c>
      <c r="L82" s="44" t="str">
        <f t="shared" ref="L82" si="25">"FY"&amp;TEXT(RIGHT(K82,2)+COLUMN()-COLUMN(K82),"00")</f>
      </c>
      <c r="M82" s="44" t="str">
        <f t="shared" ref="M82" si="26">"FY"&amp;TEXT(RIGHT(L82,2)+COLUMN()-COLUMN(L82),"00")</f>
      </c>
      <c r="N82" s="44" t="str">
        <f t="shared" ref="N82" si="27">"FY"&amp;TEXT(RIGHT(M82,2)+COLUMN()-COLUMN(M82),"00")</f>
      </c>
      <c r="O82" s="44" t="str">
        <f t="shared" ref="O82" si="28">"FY"&amp;TEXT(RIGHT(N82,2)+COLUMN()-COLUMN(N82),"00")</f>
      </c>
      <c r="P82" s="44" t="str">
        <f t="shared" ref="P82" si="29">"FY"&amp;TEXT(RIGHT(O82,2)+COLUMN()-COLUMN(O82),"00")</f>
      </c>
      <c r="Q82" s="44" t="str">
        <f t="shared" ref="Q82" si="30">"FY"&amp;TEXT(RIGHT(P82,2)+COLUMN()-COLUMN(P82),"00")</f>
      </c>
      <c r="R82" s="44" t="str">
        <f t="shared" ref="R82" si="31">"FY"&amp;TEXT(RIGHT(Q82,2)+COLUMN()-COLUMN(Q82),"00")</f>
      </c>
      <c r="S82" s="44" t="str">
        <f t="shared" ref="S82" si="32">"FY"&amp;TEXT(RIGHT(R82,2)+COLUMN()-COLUMN(R82),"00")</f>
      </c>
      <c r="T82" s="44" t="str">
        <f t="shared" ref="T82" si="33">"FY"&amp;TEXT(RIGHT(S82,2)+COLUMN()-COLUMN(S82),"00")</f>
      </c>
      <c r="U82" s="44" t="str">
        <f t="shared" ref="U82" si="34">"FY"&amp;TEXT(RIGHT(T82,2)+COLUMN()-COLUMN(T82),"00")</f>
      </c>
    </row>
    <row r="83" spans="3:21" ht="3" customHeight="1" x14ac:dyDescent="0.3"/>
    <row r="84" spans="3:21" ht="3" customHeight="1" x14ac:dyDescent="0.3"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3:21" ht="3" customHeight="1" x14ac:dyDescent="0.3"/>
    <row r="86" spans="3:21" ht="3" customHeight="1" thickBot="1" x14ac:dyDescent="0.35"/>
    <row r="87" spans="3:21" ht="18.600000000000001" thickBot="1" x14ac:dyDescent="0.4">
      <c r="C87" s="24" t="str">
        <f>"Total Volume "&amp; 'Assumptions&amp;Scenario'!$K$42</f>
      </c>
      <c r="H87" s="248">
        <f>$H$10</f>
      </c>
      <c r="J87" s="71"/>
      <c r="K87" s="71">
        <f>K17</f>
      </c>
      <c r="L87" s="71">
        <f t="shared" ref="L87:U87" si="35">L17</f>
      </c>
      <c r="M87" s="71">
        <f t="shared" si="35"/>
      </c>
      <c r="N87" s="71">
        <f t="shared" si="35"/>
      </c>
      <c r="O87" s="71">
        <f t="shared" si="35"/>
      </c>
      <c r="P87" s="71">
        <f t="shared" si="35"/>
      </c>
      <c r="Q87" s="71">
        <f t="shared" si="35"/>
      </c>
      <c r="R87" s="71">
        <f t="shared" si="35"/>
      </c>
      <c r="S87" s="71">
        <f t="shared" si="35"/>
      </c>
      <c r="T87" s="71">
        <f t="shared" si="35"/>
      </c>
      <c r="U87" s="71">
        <f t="shared" si="35"/>
      </c>
    </row>
    <row r="88" spans="3:21" ht="18" x14ac:dyDescent="0.35">
      <c r="C88" s="24" t="s">
        <v>484</v>
      </c>
      <c r="H88" s="87" t="str">
        <f>$H$21</f>
      </c>
    </row>
    <row r="89" spans="3:21" x14ac:dyDescent="0.3">
      <c r="C89" s="2" t="s">
        <v>221</v>
      </c>
    </row>
    <row r="90" spans="3:21" x14ac:dyDescent="0.3">
      <c r="D90" t="str">
        <f t="shared" ref="D90:D95" si="36">D62</f>
      </c>
      <c r="E90" s="19"/>
      <c r="J90" s="71">
        <f>HistoricalData!T181</f>
      </c>
      <c r="K90" s="71">
        <f>HistoricalData!U181</f>
      </c>
      <c r="L90" s="71">
        <f t="shared" ref="L90:U95" si="37">L$87*L120/$H$87</f>
      </c>
      <c r="M90" s="71">
        <f t="shared" si="37"/>
      </c>
    </row>
    <row r="91" spans="3:21" x14ac:dyDescent="0.3">
      <c r="D91" t="str">
        <f t="shared" si="36"/>
      </c>
      <c r="E91" s="19"/>
      <c r="J91" s="71">
        <f>HistoricalData!T182</f>
      </c>
      <c r="K91" s="71">
        <f>HistoricalData!U182</f>
      </c>
      <c r="L91" s="71">
        <f t="shared" si="37"/>
      </c>
      <c r="M91" s="71">
        <f t="shared" si="37"/>
      </c>
    </row>
    <row r="92" spans="3:21" x14ac:dyDescent="0.3">
      <c r="D92" t="str">
        <f t="shared" si="36"/>
      </c>
      <c r="E92" s="19"/>
      <c r="J92" s="71">
        <f>HistoricalData!T183</f>
      </c>
      <c r="K92" s="71">
        <f>HistoricalData!U183</f>
      </c>
      <c r="L92" s="71">
        <f t="shared" si="37"/>
      </c>
      <c r="M92" s="71">
        <f t="shared" si="37"/>
      </c>
    </row>
    <row r="93" spans="3:21" x14ac:dyDescent="0.3">
      <c r="D93" t="str">
        <f t="shared" si="36"/>
      </c>
      <c r="E93" s="19"/>
      <c r="J93" s="71">
        <f>HistoricalData!T184</f>
      </c>
      <c r="K93" s="71">
        <f>HistoricalData!U184</f>
      </c>
      <c r="L93" s="71">
        <f t="shared" si="37"/>
      </c>
      <c r="M93" s="71">
        <f t="shared" si="37"/>
      </c>
    </row>
    <row r="94" spans="3:21" x14ac:dyDescent="0.3">
      <c r="D94" t="str">
        <f t="shared" si="36"/>
      </c>
      <c r="E94" s="19"/>
      <c r="J94" s="71">
        <f>HistoricalData!T185</f>
      </c>
      <c r="K94" s="71">
        <f>HistoricalData!U185</f>
      </c>
      <c r="L94" s="71">
        <f t="shared" si="37"/>
      </c>
      <c r="M94" s="71">
        <f t="shared" si="37"/>
      </c>
    </row>
    <row r="95" spans="3:21" x14ac:dyDescent="0.3">
      <c r="D95" s="2" t="str">
        <f t="shared" si="36"/>
      </c>
      <c r="E95" s="2"/>
      <c r="J95" s="90">
        <f>HistoricalData!T186</f>
      </c>
      <c r="K95" s="90">
        <f>HistoricalData!U186</f>
      </c>
      <c r="L95" s="90">
        <f>SUM(L90:L94)</f>
      </c>
      <c r="M95" s="90">
        <f>SUM(M90:M94)</f>
      </c>
      <c r="N95" s="90">
        <f t="shared" si="37"/>
      </c>
      <c r="O95" s="90">
        <f t="shared" si="37"/>
      </c>
      <c r="P95" s="90">
        <f t="shared" si="37"/>
      </c>
      <c r="Q95" s="90">
        <f t="shared" si="37"/>
      </c>
      <c r="R95" s="90">
        <f t="shared" si="37"/>
      </c>
      <c r="S95" s="90">
        <f t="shared" si="37"/>
      </c>
      <c r="T95" s="90">
        <f t="shared" si="37"/>
      </c>
      <c r="U95" s="90">
        <f t="shared" si="37"/>
      </c>
    </row>
    <row r="96" spans="3:21" ht="3" customHeight="1" x14ac:dyDescent="0.3"/>
    <row r="97" spans="2:22" x14ac:dyDescent="0.3">
      <c r="C97" s="2" t="s">
        <v>167</v>
      </c>
      <c r="D97" s="2"/>
    </row>
    <row r="98" spans="2:22" x14ac:dyDescent="0.3">
      <c r="D98" t="str">
        <f t="shared" ref="D98:D103" si="38">D70</f>
      </c>
      <c r="E98" s="19"/>
      <c r="J98" s="71">
        <f>HistoricalData!T189</f>
      </c>
      <c r="K98" s="71">
        <f>HistoricalData!U189</f>
      </c>
      <c r="L98" s="151">
        <f>'Assumptions&amp;Scenario'!S26</f>
      </c>
      <c r="M98" s="71">
        <f>L98*(1+M70)</f>
      </c>
      <c r="N98" s="71"/>
      <c r="O98" s="71"/>
      <c r="P98" s="71"/>
      <c r="Q98" s="71"/>
      <c r="R98" s="71"/>
      <c r="S98" s="71"/>
      <c r="T98" s="71"/>
      <c r="U98" s="71"/>
    </row>
    <row r="99" spans="2:22" x14ac:dyDescent="0.3">
      <c r="D99" t="str">
        <f t="shared" si="38"/>
      </c>
      <c r="E99" s="19"/>
      <c r="J99" s="71">
        <f>HistoricalData!T190</f>
      </c>
      <c r="K99" s="71">
        <f>HistoricalData!U190</f>
      </c>
      <c r="L99" s="151">
        <f>'Assumptions&amp;Scenario'!S27</f>
      </c>
      <c r="M99" s="71">
        <f>L99*(1+M71)</f>
      </c>
      <c r="N99" s="71"/>
      <c r="O99" s="71"/>
      <c r="P99" s="71"/>
      <c r="Q99" s="71"/>
      <c r="R99" s="71"/>
      <c r="S99" s="71"/>
      <c r="T99" s="71"/>
      <c r="U99" s="71"/>
    </row>
    <row r="100" spans="2:22" x14ac:dyDescent="0.3">
      <c r="D100" t="str">
        <f t="shared" si="38"/>
      </c>
      <c r="E100" s="19"/>
      <c r="J100" s="71">
        <f>HistoricalData!T191</f>
      </c>
      <c r="K100" s="71">
        <f>HistoricalData!U191</f>
      </c>
      <c r="L100" s="151">
        <f>'Assumptions&amp;Scenario'!S28</f>
      </c>
      <c r="M100" s="71">
        <f>L100*(1+M72)</f>
      </c>
      <c r="N100" s="71"/>
      <c r="O100" s="71"/>
      <c r="P100" s="71"/>
      <c r="Q100" s="71"/>
      <c r="R100" s="71"/>
      <c r="S100" s="71"/>
      <c r="T100" s="71"/>
      <c r="U100" s="71"/>
    </row>
    <row r="101" spans="2:22" x14ac:dyDescent="0.3">
      <c r="D101" t="str">
        <f t="shared" si="38"/>
      </c>
      <c r="E101" s="19"/>
      <c r="J101" s="71">
        <f>HistoricalData!T192</f>
      </c>
      <c r="K101" s="71">
        <f>HistoricalData!U192</f>
      </c>
      <c r="L101" s="151">
        <f>'Assumptions&amp;Scenario'!S29</f>
      </c>
      <c r="M101" s="71">
        <f>L101*(1+M73)</f>
      </c>
      <c r="N101" s="71"/>
      <c r="O101" s="71"/>
      <c r="P101" s="71"/>
      <c r="Q101" s="71"/>
      <c r="R101" s="71"/>
      <c r="S101" s="71"/>
      <c r="T101" s="71"/>
      <c r="U101" s="71"/>
    </row>
    <row r="102" spans="2:22" x14ac:dyDescent="0.3">
      <c r="D102" t="str">
        <f t="shared" si="38"/>
      </c>
      <c r="E102" s="19"/>
      <c r="J102" s="71">
        <f>HistoricalData!T193</f>
      </c>
      <c r="K102" s="71">
        <f>HistoricalData!U193</f>
      </c>
      <c r="L102" s="151">
        <f>'Assumptions&amp;Scenario'!S30</f>
      </c>
      <c r="M102" s="71">
        <f>L102*(1+M74)</f>
      </c>
      <c r="N102" s="71"/>
      <c r="O102" s="71"/>
      <c r="P102" s="71"/>
      <c r="Q102" s="71"/>
      <c r="R102" s="71"/>
      <c r="S102" s="71"/>
      <c r="T102" s="71"/>
      <c r="U102" s="71"/>
    </row>
    <row r="103" spans="2:22" x14ac:dyDescent="0.3">
      <c r="D103" s="2" t="str">
        <f t="shared" si="38"/>
      </c>
      <c r="E103" s="2"/>
      <c r="J103" s="90">
        <f>HistoricalData!T194</f>
      </c>
      <c r="K103" s="90">
        <f>HistoricalData!U194</f>
      </c>
      <c r="L103" s="90">
        <f>SUM(L98:L102)</f>
      </c>
      <c r="M103" s="90">
        <f>SUM(M98:M102)</f>
      </c>
      <c r="N103" s="90">
        <f t="shared" ref="N103:U103" si="39">M103*(1+N75)</f>
      </c>
      <c r="O103" s="90">
        <f t="shared" si="39"/>
      </c>
      <c r="P103" s="90">
        <f t="shared" si="39"/>
      </c>
      <c r="Q103" s="90">
        <f t="shared" si="39"/>
      </c>
      <c r="R103" s="90">
        <f t="shared" si="39"/>
      </c>
      <c r="S103" s="90">
        <f t="shared" si="39"/>
      </c>
      <c r="T103" s="90">
        <f t="shared" si="39"/>
      </c>
      <c r="U103" s="90">
        <f t="shared" si="39"/>
      </c>
    </row>
    <row r="104" spans="2:22" ht="3" customHeight="1" thickBot="1" x14ac:dyDescent="0.35"/>
    <row r="105" spans="2:22" ht="15" thickBot="1" x14ac:dyDescent="0.35">
      <c r="C105" s="2" t="s">
        <v>220</v>
      </c>
      <c r="D105" s="2"/>
      <c r="J105" s="93">
        <f>HistoricalData!T195</f>
      </c>
      <c r="K105" s="93">
        <f>HistoricalData!U195</f>
      </c>
      <c r="L105" s="93">
        <f t="shared" ref="L105" si="40">L103+L95</f>
      </c>
      <c r="M105" s="93">
        <f t="shared" ref="M105" si="41">M103+M95</f>
      </c>
      <c r="N105" s="93">
        <f t="shared" ref="N105:U105" si="42">N103+N95</f>
      </c>
      <c r="O105" s="93">
        <f t="shared" si="42"/>
      </c>
      <c r="P105" s="93">
        <f t="shared" si="42"/>
      </c>
      <c r="Q105" s="93">
        <f t="shared" si="42"/>
      </c>
      <c r="R105" s="93">
        <f t="shared" si="42"/>
      </c>
      <c r="S105" s="93">
        <f t="shared" si="42"/>
      </c>
      <c r="T105" s="93">
        <f t="shared" si="42"/>
      </c>
      <c r="U105" s="93">
        <f t="shared" si="42"/>
      </c>
    </row>
    <row r="106" spans="2:22" ht="15" thickTop="1" x14ac:dyDescent="0.3">
      <c r="D106" s="78" t="s">
        <v>225</v>
      </c>
      <c r="K106" s="85">
        <f>IFERROR(K105/J105-1, 0)</f>
      </c>
      <c r="L106" s="85">
        <f>IFERROR(L105/K105-1, 0)</f>
      </c>
      <c r="M106" s="85">
        <f>IFERROR(M105/L105-1, 0)</f>
      </c>
      <c r="N106" s="85">
        <f t="shared" ref="N106:U106" si="43">IFERROR(N105/M105-1, 0)</f>
      </c>
      <c r="O106" s="85">
        <f t="shared" si="43"/>
      </c>
      <c r="P106" s="85">
        <f t="shared" si="43"/>
      </c>
      <c r="Q106" s="85">
        <f t="shared" si="43"/>
      </c>
      <c r="R106" s="85">
        <f t="shared" si="43"/>
      </c>
      <c r="S106" s="85">
        <f t="shared" si="43"/>
      </c>
      <c r="T106" s="85">
        <f t="shared" si="43"/>
      </c>
      <c r="U106" s="85">
        <f t="shared" si="43"/>
      </c>
    </row>
    <row r="109" spans="2:22" x14ac:dyDescent="0.3">
      <c r="U109" s="227" t="str">
        <f>$U$2</f>
      </c>
    </row>
    <row r="110" spans="2:22" ht="18" x14ac:dyDescent="0.35">
      <c r="B110" s="148" t="str">
        <f>'Assumptions&amp;Scenario'!$K$10</f>
      </c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</row>
    <row r="111" spans="2:22" ht="18" thickBot="1" x14ac:dyDescent="0.35">
      <c r="B111" s="47" t="s">
        <v>404</v>
      </c>
      <c r="C111" s="48"/>
      <c r="D111" s="48"/>
      <c r="E111" s="48"/>
      <c r="F111" s="48"/>
      <c r="G111" s="48"/>
      <c r="H111" s="49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spans="2:22" ht="15" thickBot="1" x14ac:dyDescent="0.35">
      <c r="C112" s="2"/>
      <c r="D112" s="2"/>
      <c r="E112" s="2"/>
      <c r="F112" s="2"/>
      <c r="L112" s="42" t="s">
        <v>141</v>
      </c>
      <c r="M112" s="42"/>
      <c r="N112" s="42"/>
      <c r="O112" s="42"/>
      <c r="P112" s="42"/>
      <c r="Q112" s="42"/>
      <c r="R112" s="42"/>
      <c r="S112" s="42"/>
      <c r="T112" s="42"/>
      <c r="U112" s="42"/>
    </row>
    <row r="113" spans="3:21" ht="16.2" thickTop="1" x14ac:dyDescent="0.3">
      <c r="C113" s="43" t="s">
        <v>389</v>
      </c>
      <c r="D113" s="43"/>
      <c r="E113" s="43"/>
      <c r="F113" s="43"/>
      <c r="G113" s="43"/>
      <c r="H113" s="44"/>
      <c r="I113" s="44"/>
      <c r="J113" s="44" t="str">
        <f>"FY"&amp;TEXT(RIGHT(K113,2)-(COLUMN(K113)-COLUMN()),"00")</f>
      </c>
      <c r="K113" s="44" t="str">
        <f>"FY"&amp;TEXT(DATE(YEAR('Data Sheet'!$K$16)+(MONTH('Data Sheet'!$K$16)&gt;3),1,1),"YY")</f>
      </c>
      <c r="L113" s="44" t="str">
        <f t="shared" ref="L113" si="44">"FY"&amp;TEXT(RIGHT(K113,2)+COLUMN()-COLUMN(K113),"00")</f>
      </c>
      <c r="M113" s="44" t="str">
        <f t="shared" ref="M113" si="45">"FY"&amp;TEXT(RIGHT(L113,2)+COLUMN()-COLUMN(L113),"00")</f>
      </c>
      <c r="N113" s="44" t="str">
        <f t="shared" ref="N113" si="46">"FY"&amp;TEXT(RIGHT(M113,2)+COLUMN()-COLUMN(M113),"00")</f>
      </c>
      <c r="O113" s="44" t="str">
        <f t="shared" ref="O113" si="47">"FY"&amp;TEXT(RIGHT(N113,2)+COLUMN()-COLUMN(N113),"00")</f>
      </c>
      <c r="P113" s="44" t="str">
        <f t="shared" ref="P113" si="48">"FY"&amp;TEXT(RIGHT(O113,2)+COLUMN()-COLUMN(O113),"00")</f>
      </c>
      <c r="Q113" s="44" t="str">
        <f t="shared" ref="Q113" si="49">"FY"&amp;TEXT(RIGHT(P113,2)+COLUMN()-COLUMN(P113),"00")</f>
      </c>
      <c r="R113" s="44" t="str">
        <f t="shared" ref="R113" si="50">"FY"&amp;TEXT(RIGHT(Q113,2)+COLUMN()-COLUMN(Q113),"00")</f>
      </c>
      <c r="S113" s="44" t="str">
        <f t="shared" ref="S113" si="51">"FY"&amp;TEXT(RIGHT(R113,2)+COLUMN()-COLUMN(R113),"00")</f>
      </c>
      <c r="T113" s="44" t="str">
        <f t="shared" ref="T113" si="52">"FY"&amp;TEXT(RIGHT(S113,2)+COLUMN()-COLUMN(S113),"00")</f>
      </c>
      <c r="U113" s="44" t="str">
        <f t="shared" ref="U113" si="53">"FY"&amp;TEXT(RIGHT(T113,2)+COLUMN()-COLUMN(T113),"00")</f>
      </c>
    </row>
    <row r="114" spans="3:21" ht="3" customHeight="1" x14ac:dyDescent="0.3"/>
    <row r="115" spans="3:21" ht="3" customHeight="1" x14ac:dyDescent="0.3"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3:21" ht="3" customHeight="1" thickBot="1" x14ac:dyDescent="0.35"/>
    <row r="117" spans="3:21" ht="18.600000000000001" thickBot="1" x14ac:dyDescent="0.4">
      <c r="C117" s="24" t="str">
        <f>$C$87</f>
      </c>
      <c r="H117" s="248">
        <f>$H$10</f>
      </c>
      <c r="J117" s="71">
        <f t="shared" ref="J117:U117" si="54">J17</f>
      </c>
      <c r="K117" s="71">
        <f t="shared" si="54"/>
      </c>
      <c r="L117" s="71">
        <f t="shared" si="54"/>
      </c>
      <c r="M117" s="71">
        <f t="shared" si="54"/>
      </c>
      <c r="N117" s="71">
        <f t="shared" si="54"/>
      </c>
      <c r="O117" s="71">
        <f t="shared" si="54"/>
      </c>
      <c r="P117" s="71">
        <f t="shared" si="54"/>
      </c>
      <c r="Q117" s="71">
        <f t="shared" si="54"/>
      </c>
      <c r="R117" s="71">
        <f t="shared" si="54"/>
      </c>
      <c r="S117" s="71">
        <f t="shared" si="54"/>
      </c>
      <c r="T117" s="71">
        <f t="shared" si="54"/>
      </c>
      <c r="U117" s="71">
        <f t="shared" si="54"/>
      </c>
    </row>
    <row r="118" spans="3:21" ht="18" x14ac:dyDescent="0.35">
      <c r="C118" s="24" t="s">
        <v>398</v>
      </c>
      <c r="H118" s="87" t="str">
        <f>'Assumptions&amp;Scenario'!K44</f>
      </c>
    </row>
    <row r="119" spans="3:21" x14ac:dyDescent="0.3">
      <c r="C119" s="2" t="s">
        <v>221</v>
      </c>
      <c r="L119" s="151"/>
    </row>
    <row r="120" spans="3:21" x14ac:dyDescent="0.3">
      <c r="D120" t="str">
        <f t="shared" ref="D120:D125" si="55">D90</f>
      </c>
      <c r="E120" s="19"/>
      <c r="J120" s="40">
        <f>HistoricalData!T199</f>
      </c>
      <c r="K120" s="40">
        <f>HistoricalData!U199</f>
      </c>
      <c r="L120" s="151">
        <f>'Assumptions&amp;Scenario'!K26</f>
      </c>
      <c r="M120" s="40">
        <f>L120*(1+M62)</f>
      </c>
      <c r="N120" s="40"/>
      <c r="O120" s="40"/>
      <c r="P120" s="40"/>
      <c r="Q120" s="40"/>
      <c r="R120" s="40"/>
      <c r="S120" s="40"/>
      <c r="T120" s="40"/>
      <c r="U120" s="40"/>
    </row>
    <row r="121" spans="3:21" x14ac:dyDescent="0.3">
      <c r="D121" t="str">
        <f t="shared" si="55"/>
      </c>
      <c r="E121" s="19"/>
      <c r="J121" s="40">
        <f>HistoricalData!T200</f>
      </c>
      <c r="K121" s="40">
        <f>HistoricalData!U200</f>
      </c>
      <c r="L121" s="151">
        <f>'Assumptions&amp;Scenario'!K27</f>
      </c>
      <c r="M121" s="40">
        <f>L121*(1+M63)</f>
      </c>
      <c r="N121" s="40"/>
      <c r="O121" s="40"/>
      <c r="P121" s="40"/>
      <c r="Q121" s="40"/>
      <c r="R121" s="40"/>
      <c r="S121" s="40"/>
      <c r="T121" s="40"/>
      <c r="U121" s="40"/>
    </row>
    <row r="122" spans="3:21" x14ac:dyDescent="0.3">
      <c r="D122" t="str">
        <f t="shared" si="55"/>
      </c>
      <c r="E122" s="19"/>
      <c r="J122" s="40">
        <f>HistoricalData!T201</f>
      </c>
      <c r="K122" s="40">
        <f>HistoricalData!U201</f>
      </c>
      <c r="L122" s="151">
        <f>'Assumptions&amp;Scenario'!K28</f>
      </c>
      <c r="M122" s="40">
        <f>L122*(1+M64)</f>
      </c>
      <c r="N122" s="40"/>
      <c r="O122" s="40"/>
      <c r="P122" s="40"/>
      <c r="Q122" s="40"/>
      <c r="R122" s="40"/>
      <c r="S122" s="40"/>
      <c r="T122" s="40"/>
      <c r="U122" s="40"/>
    </row>
    <row r="123" spans="3:21" x14ac:dyDescent="0.3">
      <c r="D123" t="str">
        <f t="shared" si="55"/>
      </c>
      <c r="E123" s="19"/>
      <c r="J123" s="40">
        <f>HistoricalData!T202</f>
      </c>
      <c r="K123" s="40">
        <f>HistoricalData!U202</f>
      </c>
      <c r="L123" s="151">
        <f>'Assumptions&amp;Scenario'!K29</f>
      </c>
      <c r="M123" s="40">
        <f>L123*(1+M65)</f>
      </c>
      <c r="N123" s="40"/>
      <c r="O123" s="40"/>
      <c r="P123" s="40"/>
      <c r="Q123" s="40"/>
      <c r="R123" s="40"/>
      <c r="S123" s="40"/>
      <c r="T123" s="40"/>
      <c r="U123" s="40"/>
    </row>
    <row r="124" spans="3:21" x14ac:dyDescent="0.3">
      <c r="D124" t="str">
        <f t="shared" si="55"/>
      </c>
      <c r="E124" s="19"/>
      <c r="J124" s="40">
        <f>HistoricalData!T203</f>
      </c>
      <c r="K124" s="40">
        <f>HistoricalData!U203</f>
      </c>
      <c r="L124" s="151">
        <f>'Assumptions&amp;Scenario'!K30</f>
      </c>
      <c r="M124" s="40">
        <f>L124*(1+M66)</f>
      </c>
      <c r="N124" s="40"/>
      <c r="O124" s="40"/>
      <c r="P124" s="40"/>
      <c r="Q124" s="40"/>
      <c r="R124" s="40"/>
      <c r="S124" s="40"/>
      <c r="T124" s="40"/>
      <c r="U124" s="40"/>
    </row>
    <row r="125" spans="3:21" x14ac:dyDescent="0.3">
      <c r="D125" s="2" t="str">
        <f t="shared" si="55"/>
      </c>
      <c r="E125" s="2"/>
      <c r="J125" s="91">
        <f>HistoricalData!T204</f>
      </c>
      <c r="K125" s="91">
        <f>HistoricalData!U204</f>
      </c>
      <c r="L125" s="91">
        <f>SUM(L120:L124)</f>
      </c>
      <c r="M125" s="91">
        <f>SUM(M120:M124)</f>
      </c>
      <c r="N125" s="91">
        <f t="shared" ref="N125:U125" si="56">M125*(1+N67)</f>
      </c>
      <c r="O125" s="91">
        <f t="shared" si="56"/>
      </c>
      <c r="P125" s="91">
        <f t="shared" si="56"/>
      </c>
      <c r="Q125" s="91">
        <f t="shared" si="56"/>
      </c>
      <c r="R125" s="91">
        <f t="shared" si="56"/>
      </c>
      <c r="S125" s="91">
        <f t="shared" si="56"/>
      </c>
      <c r="T125" s="91">
        <f t="shared" si="56"/>
      </c>
      <c r="U125" s="91">
        <f t="shared" si="56"/>
      </c>
    </row>
    <row r="126" spans="3:21" ht="3" customHeight="1" x14ac:dyDescent="0.3"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</row>
    <row r="127" spans="3:21" x14ac:dyDescent="0.3">
      <c r="C127" s="2" t="s">
        <v>167</v>
      </c>
      <c r="D127" s="2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</row>
    <row r="128" spans="3:21" x14ac:dyDescent="0.3">
      <c r="D128" t="str">
        <f t="shared" ref="D128:D133" si="57">D98</f>
      </c>
      <c r="E128" s="19"/>
      <c r="J128" s="40">
        <f>HistoricalData!T207</f>
      </c>
      <c r="K128" s="40">
        <f>HistoricalData!U207</f>
      </c>
      <c r="L128" s="40">
        <f t="shared" ref="L128:M132" si="58">IFERROR(L98*$H$117/L$117, 0)</f>
      </c>
      <c r="M128" s="40">
        <f t="shared" si="58"/>
      </c>
      <c r="N128" s="40"/>
      <c r="O128" s="40"/>
      <c r="P128" s="40"/>
      <c r="Q128" s="40"/>
      <c r="R128" s="40"/>
      <c r="S128" s="40"/>
      <c r="T128" s="40"/>
      <c r="U128" s="40"/>
    </row>
    <row r="129" spans="2:22" x14ac:dyDescent="0.3">
      <c r="D129" t="str">
        <f t="shared" si="57"/>
      </c>
      <c r="E129" s="19"/>
      <c r="J129" s="40">
        <f>HistoricalData!T208</f>
      </c>
      <c r="K129" s="40">
        <f>HistoricalData!U208</f>
      </c>
      <c r="L129" s="40">
        <f t="shared" si="58"/>
      </c>
      <c r="M129" s="40">
        <f t="shared" si="58"/>
      </c>
      <c r="N129" s="40"/>
      <c r="O129" s="40"/>
      <c r="P129" s="40"/>
      <c r="Q129" s="40"/>
      <c r="R129" s="40"/>
      <c r="S129" s="40"/>
      <c r="T129" s="40"/>
      <c r="U129" s="40"/>
    </row>
    <row r="130" spans="2:22" x14ac:dyDescent="0.3">
      <c r="D130" t="str">
        <f t="shared" si="57"/>
      </c>
      <c r="E130" s="19"/>
      <c r="J130" s="40">
        <f>HistoricalData!T209</f>
      </c>
      <c r="K130" s="40">
        <f>HistoricalData!U209</f>
      </c>
      <c r="L130" s="40">
        <f>IFERROR(L100*$H$117/L$117, 0)</f>
      </c>
      <c r="M130" s="40">
        <f t="shared" si="58"/>
      </c>
      <c r="N130" s="40"/>
      <c r="O130" s="40"/>
      <c r="P130" s="40"/>
      <c r="Q130" s="40"/>
      <c r="R130" s="40"/>
      <c r="S130" s="40"/>
      <c r="T130" s="40"/>
      <c r="U130" s="40"/>
    </row>
    <row r="131" spans="2:22" x14ac:dyDescent="0.3">
      <c r="D131" t="str">
        <f t="shared" si="57"/>
      </c>
      <c r="E131" s="19"/>
      <c r="J131" s="40">
        <f>HistoricalData!T210</f>
      </c>
      <c r="K131" s="40">
        <f>HistoricalData!U210</f>
      </c>
      <c r="L131" s="40">
        <f t="shared" si="58"/>
      </c>
      <c r="M131" s="40">
        <f t="shared" si="58"/>
      </c>
      <c r="N131" s="40"/>
      <c r="O131" s="40"/>
      <c r="P131" s="40"/>
      <c r="Q131" s="40"/>
      <c r="R131" s="40"/>
      <c r="S131" s="40"/>
      <c r="T131" s="40"/>
      <c r="U131" s="40"/>
    </row>
    <row r="132" spans="2:22" x14ac:dyDescent="0.3">
      <c r="D132" t="str">
        <f t="shared" si="57"/>
      </c>
      <c r="E132" s="19"/>
      <c r="J132" s="40">
        <f>HistoricalData!T211</f>
      </c>
      <c r="K132" s="40">
        <f>HistoricalData!U211</f>
      </c>
      <c r="L132" s="40">
        <f t="shared" si="58"/>
      </c>
      <c r="M132" s="40">
        <f t="shared" si="58"/>
      </c>
      <c r="N132" s="40"/>
      <c r="O132" s="40"/>
      <c r="P132" s="40"/>
      <c r="Q132" s="40"/>
      <c r="R132" s="40"/>
      <c r="S132" s="40"/>
      <c r="T132" s="40"/>
      <c r="U132" s="40"/>
    </row>
    <row r="133" spans="2:22" x14ac:dyDescent="0.3">
      <c r="D133" s="2" t="str">
        <f t="shared" si="57"/>
      </c>
      <c r="E133" s="2"/>
      <c r="J133" s="91">
        <f>HistoricalData!T212</f>
      </c>
      <c r="K133" s="91">
        <f>HistoricalData!U212</f>
      </c>
      <c r="L133" s="91">
        <f>SUM(L128:L132)</f>
      </c>
      <c r="M133" s="91">
        <f>SUM(M128:M132)</f>
      </c>
      <c r="N133" s="91">
        <f t="shared" ref="N133:U133" si="59">IFERROR(N103*$H$117/N$117, 0)</f>
      </c>
      <c r="O133" s="91">
        <f t="shared" si="59"/>
      </c>
      <c r="P133" s="91">
        <f t="shared" si="59"/>
      </c>
      <c r="Q133" s="91">
        <f t="shared" si="59"/>
      </c>
      <c r="R133" s="91">
        <f t="shared" si="59"/>
      </c>
      <c r="S133" s="91">
        <f t="shared" si="59"/>
      </c>
      <c r="T133" s="91">
        <f t="shared" si="59"/>
      </c>
      <c r="U133" s="91">
        <f t="shared" si="59"/>
      </c>
    </row>
    <row r="134" spans="2:22" ht="3" customHeight="1" thickBot="1" x14ac:dyDescent="0.35"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</row>
    <row r="135" spans="2:22" ht="15" thickBot="1" x14ac:dyDescent="0.35">
      <c r="C135" s="2" t="s">
        <v>613</v>
      </c>
      <c r="D135" s="2"/>
      <c r="J135" s="93">
        <f>HistoricalData!T213</f>
      </c>
      <c r="K135" s="93">
        <f>HistoricalData!U213</f>
      </c>
      <c r="L135" s="93">
        <f t="shared" ref="L135" si="60">L133+L125</f>
      </c>
      <c r="M135" s="93">
        <f t="shared" ref="M135" si="61">M133+M125</f>
      </c>
      <c r="N135" s="93">
        <f t="shared" ref="N135" si="62">N133+N125</f>
      </c>
      <c r="O135" s="93">
        <f t="shared" ref="O135" si="63">O133+O125</f>
      </c>
      <c r="P135" s="93">
        <f t="shared" ref="P135" si="64">P133+P125</f>
      </c>
      <c r="Q135" s="93">
        <f t="shared" ref="Q135" si="65">Q133+Q125</f>
      </c>
      <c r="R135" s="93">
        <f t="shared" ref="R135" si="66">R133+R125</f>
      </c>
      <c r="S135" s="93">
        <f t="shared" ref="S135" si="67">S133+S125</f>
      </c>
      <c r="T135" s="93">
        <f t="shared" ref="T135" si="68">T133+T125</f>
      </c>
      <c r="U135" s="93">
        <f t="shared" ref="U135" si="69">U133+U125</f>
      </c>
    </row>
    <row r="136" spans="2:22" ht="15" thickTop="1" x14ac:dyDescent="0.3">
      <c r="D136" s="78" t="s">
        <v>225</v>
      </c>
      <c r="K136" s="85">
        <f>IFERROR(K135/J135-1, 0)</f>
      </c>
      <c r="L136" s="85">
        <f>IFERROR(L135/K135-1, 0)</f>
      </c>
      <c r="M136" s="85">
        <f>IFERROR(M135/L135-1, 0)</f>
      </c>
      <c r="N136" s="85">
        <f t="shared" ref="N136" si="70">IFERROR(N135/M135-1, 0)</f>
      </c>
      <c r="O136" s="85">
        <f t="shared" ref="O136" si="71">IFERROR(O135/N135-1, 0)</f>
      </c>
      <c r="P136" s="85">
        <f t="shared" ref="P136" si="72">IFERROR(P135/O135-1, 0)</f>
      </c>
      <c r="Q136" s="85">
        <f t="shared" ref="Q136" si="73">IFERROR(Q135/P135-1, 0)</f>
      </c>
      <c r="R136" s="85">
        <f t="shared" ref="R136" si="74">IFERROR(R135/Q135-1, 0)</f>
      </c>
      <c r="S136" s="85">
        <f t="shared" ref="S136" si="75">IFERROR(S135/R135-1, 0)</f>
      </c>
      <c r="T136" s="85">
        <f t="shared" ref="T136" si="76">IFERROR(T135/S135-1, 0)</f>
      </c>
      <c r="U136" s="85">
        <f t="shared" ref="U136" si="77">IFERROR(U135/T135-1, 0)</f>
      </c>
    </row>
    <row r="139" spans="2:22" x14ac:dyDescent="0.3">
      <c r="U139" s="227" t="str">
        <f>$U$2</f>
      </c>
    </row>
    <row r="140" spans="2:22" ht="18" x14ac:dyDescent="0.35">
      <c r="B140" s="148" t="str">
        <f>'Assumptions&amp;Scenario'!$K$10</f>
      </c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</row>
    <row r="141" spans="2:22" ht="18" thickBot="1" x14ac:dyDescent="0.35">
      <c r="B141" s="47" t="s">
        <v>405</v>
      </c>
      <c r="C141" s="48"/>
      <c r="D141" s="48"/>
      <c r="E141" s="48"/>
      <c r="F141" s="48"/>
      <c r="G141" s="48"/>
      <c r="H141" s="49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</row>
    <row r="142" spans="2:22" ht="15" thickBot="1" x14ac:dyDescent="0.35">
      <c r="C142" s="2"/>
      <c r="D142" s="2"/>
      <c r="E142" s="2"/>
      <c r="F142" s="2"/>
      <c r="L142" s="80" t="s">
        <v>141</v>
      </c>
      <c r="M142" s="80"/>
      <c r="N142" s="42"/>
      <c r="O142" s="42"/>
      <c r="P142" s="42"/>
      <c r="Q142" s="42"/>
      <c r="R142" s="42"/>
      <c r="S142" s="42"/>
      <c r="T142" s="42"/>
      <c r="U142" s="42"/>
    </row>
    <row r="143" spans="2:22" ht="16.2" thickTop="1" x14ac:dyDescent="0.3">
      <c r="C143" s="43" t="s">
        <v>25</v>
      </c>
      <c r="D143" s="43"/>
      <c r="E143" s="43"/>
      <c r="F143" s="43"/>
      <c r="G143" s="43"/>
      <c r="H143" s="44"/>
      <c r="I143" s="44"/>
      <c r="J143" s="44" t="str">
        <f>"FY"&amp;TEXT(MID(K143,3,2)-IF(RIGHT(K143,1)="1",1,0),"00")&amp;"Q"&amp;CHOOSE(RIGHT(K143,1)+0,4,1,2,3)</f>
      </c>
      <c r="K143" s="44" t="str">
        <f>"FY"&amp;TEXT(MID(L143,3,2)-IF(RIGHT(L143,1)="1",1,0),"00")&amp;"Q"&amp;CHOOSE(RIGHT(L143,1)+0,4,1,2,3)</f>
      </c>
      <c r="L143" s="44" t="str">
        <f>"FY"&amp;TEXT(MID(M143,3,2)-IF(RIGHT(M143,1)="1",1,0),"00")&amp;"Q"&amp;CHOOSE(RIGHT(M143,1)+0,4,1,2,3)</f>
      </c>
      <c r="M143" s="44" t="str">
        <f>"FY"&amp;TEXT(YEAR('Data Sheet'!$K$41)+(MONTH('Data Sheet'!$K$41)&gt;3)-2000,"00")&amp;"Q"&amp;INT((MOD(MONTH('Data Sheet'!$K$41)-4,12))/3)+1</f>
      </c>
      <c r="N143" s="44" t="str">
        <f t="shared" ref="N143" si="78">"FY"&amp;TEXT(MID(M143,3,2)+IF(RIGHT(M143,1)="4",1,0),"00")&amp;"Q"&amp;MOD(RIGHT(M143,1),4)+1</f>
      </c>
      <c r="O143" s="44" t="str">
        <f t="shared" ref="O143" si="79">"FY"&amp;TEXT(MID(N143,3,2)+IF(RIGHT(N143,1)="4",1,0),"00")&amp;"Q"&amp;MOD(RIGHT(N143,1),4)+1</f>
      </c>
      <c r="P143" s="44" t="str">
        <f t="shared" ref="P143" si="80">"FY"&amp;TEXT(MID(O143,3,2)+IF(RIGHT(O143,1)="4",1,0),"00")&amp;"Q"&amp;MOD(RIGHT(O143,1),4)+1</f>
      </c>
      <c r="Q143" s="44" t="str">
        <f t="shared" ref="Q143" si="81">"FY"&amp;TEXT(MID(P143,3,2)+IF(RIGHT(P143,1)="4",1,0),"00")&amp;"Q"&amp;MOD(RIGHT(P143,1),4)+1</f>
      </c>
      <c r="R143" s="44" t="str">
        <f t="shared" ref="R143" si="82">"FY"&amp;TEXT(MID(Q143,3,2)+IF(RIGHT(Q143,1)="4",1,0),"00")&amp;"Q"&amp;MOD(RIGHT(Q143,1),4)+1</f>
      </c>
      <c r="S143" s="44" t="str">
        <f t="shared" ref="S143" si="83">"FY"&amp;TEXT(MID(R143,3,2)+IF(RIGHT(R143,1)="4",1,0),"00")&amp;"Q"&amp;MOD(RIGHT(R143,1),4)+1</f>
      </c>
      <c r="T143" s="44" t="str">
        <f t="shared" ref="T143" si="84">"FY"&amp;TEXT(MID(S143,3,2)+IF(RIGHT(S143,1)="4",1,0),"00")&amp;"Q"&amp;MOD(RIGHT(S143,1),4)+1</f>
      </c>
      <c r="U143" s="44" t="str">
        <f t="shared" ref="U143" si="85">"FY"&amp;TEXT(MID(T143,3,2)+IF(RIGHT(T143,1)="4",1,0),"00")&amp;"Q"&amp;MOD(RIGHT(T143,1),4)+1</f>
      </c>
    </row>
    <row r="144" spans="2:22" ht="3" customHeight="1" x14ac:dyDescent="0.3"/>
    <row r="145" spans="3:21" ht="3" customHeight="1" x14ac:dyDescent="0.3"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3:21" ht="3" customHeight="1" thickBot="1" x14ac:dyDescent="0.35"/>
    <row r="147" spans="3:21" ht="18.600000000000001" thickBot="1" x14ac:dyDescent="0.4">
      <c r="C147" s="24" t="str">
        <f>$C$87</f>
      </c>
      <c r="H147" s="248">
        <f>$H$10</f>
      </c>
      <c r="N147" s="40">
        <f>N42</f>
      </c>
      <c r="O147" s="40">
        <f t="shared" ref="O147:U147" si="86">O42</f>
      </c>
      <c r="P147" s="40">
        <f t="shared" si="86"/>
      </c>
      <c r="Q147" s="40">
        <f t="shared" si="86"/>
      </c>
      <c r="R147" s="40">
        <f t="shared" si="86"/>
      </c>
      <c r="S147" s="40">
        <f t="shared" si="86"/>
      </c>
      <c r="T147" s="40">
        <f t="shared" si="86"/>
      </c>
      <c r="U147" s="40">
        <f t="shared" si="86"/>
      </c>
    </row>
    <row r="148" spans="3:21" ht="18" x14ac:dyDescent="0.35">
      <c r="C148" s="24" t="s">
        <v>394</v>
      </c>
    </row>
    <row r="149" spans="3:21" x14ac:dyDescent="0.3">
      <c r="C149" t="s">
        <v>221</v>
      </c>
      <c r="N149" s="150">
        <f>'Assumptions&amp;Scenario'!N147</f>
      </c>
      <c r="O149" s="150">
        <f>'Assumptions&amp;Scenario'!O147</f>
      </c>
      <c r="P149" s="150">
        <f>'Assumptions&amp;Scenario'!P147</f>
      </c>
      <c r="Q149" s="150">
        <f>'Assumptions&amp;Scenario'!Q147</f>
      </c>
      <c r="R149" s="150">
        <f>'Assumptions&amp;Scenario'!R147</f>
      </c>
      <c r="S149" s="150">
        <f>'Assumptions&amp;Scenario'!S147</f>
      </c>
      <c r="T149" s="150">
        <f>'Assumptions&amp;Scenario'!T147</f>
      </c>
      <c r="U149" s="150">
        <f>'Assumptions&amp;Scenario'!U147</f>
      </c>
    </row>
    <row r="150" spans="3:21" x14ac:dyDescent="0.3">
      <c r="C150" t="s">
        <v>167</v>
      </c>
      <c r="N150" s="150">
        <f>'Assumptions&amp;Scenario'!N153</f>
      </c>
      <c r="O150" s="150">
        <f>'Assumptions&amp;Scenario'!O153</f>
      </c>
      <c r="P150" s="150">
        <f>'Assumptions&amp;Scenario'!P153</f>
      </c>
      <c r="Q150" s="150">
        <f>'Assumptions&amp;Scenario'!Q153</f>
      </c>
      <c r="R150" s="150">
        <f>'Assumptions&amp;Scenario'!R153</f>
      </c>
      <c r="S150" s="150">
        <f>'Assumptions&amp;Scenario'!S153</f>
      </c>
      <c r="T150" s="150">
        <f>'Assumptions&amp;Scenario'!T153</f>
      </c>
      <c r="U150" s="150">
        <f>'Assumptions&amp;Scenario'!U153</f>
      </c>
    </row>
    <row r="152" spans="3:21" ht="18" x14ac:dyDescent="0.35">
      <c r="C152" s="24" t="s">
        <v>484</v>
      </c>
    </row>
    <row r="153" spans="3:21" x14ac:dyDescent="0.3">
      <c r="C153" t="s">
        <v>221</v>
      </c>
      <c r="J153" s="71">
        <f>HistoricalData!R233</f>
      </c>
      <c r="K153" s="71">
        <f>HistoricalData!S233</f>
      </c>
      <c r="L153" s="71">
        <f>HistoricalData!T233</f>
      </c>
      <c r="M153" s="71">
        <f>HistoricalData!U233</f>
      </c>
      <c r="N153" s="71">
        <f>J153*(1+N149)</f>
      </c>
      <c r="O153" s="71">
        <f t="shared" ref="O153:U153" si="87">K153*(1+O149)</f>
      </c>
      <c r="P153" s="71">
        <f t="shared" si="87"/>
      </c>
      <c r="Q153" s="71">
        <f t="shared" si="87"/>
      </c>
      <c r="R153" s="71">
        <f t="shared" si="87"/>
      </c>
      <c r="S153" s="71">
        <f t="shared" si="87"/>
      </c>
      <c r="T153" s="71">
        <f t="shared" si="87"/>
      </c>
      <c r="U153" s="71">
        <f t="shared" si="87"/>
      </c>
    </row>
    <row r="154" spans="3:21" ht="15" thickBot="1" x14ac:dyDescent="0.35">
      <c r="C154" t="s">
        <v>167</v>
      </c>
      <c r="J154" s="71">
        <f>HistoricalData!R241</f>
      </c>
      <c r="K154" s="71">
        <f>HistoricalData!S241</f>
      </c>
      <c r="L154" s="71">
        <f>HistoricalData!T241</f>
      </c>
      <c r="M154" s="71">
        <f>HistoricalData!U241</f>
      </c>
      <c r="N154" s="71">
        <f>J154*(1+N150)</f>
      </c>
      <c r="O154" s="71">
        <f t="shared" ref="O154:U154" si="88">K154*(1+O150)</f>
      </c>
      <c r="P154" s="71">
        <f t="shared" si="88"/>
      </c>
      <c r="Q154" s="71">
        <f t="shared" si="88"/>
      </c>
      <c r="R154" s="71">
        <f t="shared" si="88"/>
      </c>
      <c r="S154" s="71">
        <f t="shared" si="88"/>
      </c>
      <c r="T154" s="71">
        <f t="shared" si="88"/>
      </c>
      <c r="U154" s="71">
        <f t="shared" si="88"/>
      </c>
    </row>
    <row r="155" spans="3:21" ht="15" thickBot="1" x14ac:dyDescent="0.35">
      <c r="C155" s="2" t="s">
        <v>220</v>
      </c>
      <c r="J155" s="93">
        <f>SUM(J153:J154)</f>
      </c>
      <c r="K155" s="93">
        <f t="shared" ref="K155:M155" si="89">SUM(K153:K154)</f>
      </c>
      <c r="L155" s="93">
        <f t="shared" si="89"/>
      </c>
      <c r="M155" s="93">
        <f t="shared" si="89"/>
      </c>
      <c r="N155" s="93">
        <f t="shared" ref="N155" si="90">SUM(N153:N154)</f>
      </c>
      <c r="O155" s="93">
        <f t="shared" ref="O155" si="91">SUM(O153:O154)</f>
      </c>
      <c r="P155" s="93">
        <f t="shared" ref="P155" si="92">SUM(P153:P154)</f>
      </c>
      <c r="Q155" s="93">
        <f t="shared" ref="Q155" si="93">SUM(Q153:Q154)</f>
      </c>
      <c r="R155" s="93">
        <f t="shared" ref="R155" si="94">SUM(R153:R154)</f>
      </c>
      <c r="S155" s="93">
        <f t="shared" ref="S155" si="95">SUM(S153:S154)</f>
      </c>
      <c r="T155" s="93">
        <f t="shared" ref="T155" si="96">SUM(T153:T154)</f>
      </c>
      <c r="U155" s="93">
        <f t="shared" ref="U155" si="97">SUM(U153:U154)</f>
      </c>
    </row>
    <row r="156" spans="3:21" ht="15" thickTop="1" x14ac:dyDescent="0.3">
      <c r="D156" s="78" t="s">
        <v>225</v>
      </c>
      <c r="L156" s="85"/>
      <c r="M156" s="85"/>
      <c r="N156" s="85">
        <f t="shared" ref="N156:T156" si="98">IFERROR(N155/J155-1, 0)</f>
      </c>
      <c r="O156" s="85">
        <f t="shared" si="98"/>
      </c>
      <c r="P156" s="85">
        <f t="shared" si="98"/>
      </c>
      <c r="Q156" s="85">
        <f t="shared" si="98"/>
      </c>
      <c r="R156" s="85">
        <f t="shared" si="98"/>
      </c>
      <c r="S156" s="85">
        <f t="shared" si="98"/>
      </c>
      <c r="T156" s="85">
        <f t="shared" si="98"/>
      </c>
      <c r="U156" s="85">
        <f>IFERROR(U155/Q155-1, 0)</f>
      </c>
    </row>
    <row r="157" spans="3:21" x14ac:dyDescent="0.3">
      <c r="D157" s="78"/>
      <c r="L157" s="85"/>
      <c r="M157" s="85"/>
      <c r="N157" s="85"/>
      <c r="O157" s="85"/>
      <c r="P157" s="85"/>
      <c r="Q157" s="85"/>
      <c r="R157" s="85"/>
      <c r="S157" s="85"/>
      <c r="T157" s="85"/>
      <c r="U157" s="85"/>
    </row>
    <row r="158" spans="3:21" ht="18" x14ac:dyDescent="0.35">
      <c r="C158" s="24" t="s">
        <v>398</v>
      </c>
    </row>
    <row r="159" spans="3:21" x14ac:dyDescent="0.3">
      <c r="C159" t="s">
        <v>221</v>
      </c>
      <c r="J159" s="71">
        <f>HistoricalData!R251</f>
      </c>
      <c r="K159" s="71">
        <f>HistoricalData!S251</f>
      </c>
      <c r="L159" s="71">
        <f>HistoricalData!T251</f>
      </c>
      <c r="M159" s="71">
        <f>HistoricalData!U251</f>
      </c>
      <c r="N159" s="71">
        <f>IFERROR(N153*$H$147/N$147, 0)</f>
      </c>
      <c r="O159" s="71">
        <f t="shared" ref="O159:U159" si="99">IFERROR(O153*$H$147/O$147, 0)</f>
      </c>
      <c r="P159" s="71">
        <f t="shared" si="99"/>
      </c>
      <c r="Q159" s="71">
        <f t="shared" si="99"/>
      </c>
      <c r="R159" s="71">
        <f t="shared" si="99"/>
      </c>
      <c r="S159" s="71">
        <f t="shared" si="99"/>
      </c>
      <c r="T159" s="71">
        <f t="shared" si="99"/>
      </c>
      <c r="U159" s="71">
        <f t="shared" si="99"/>
      </c>
    </row>
    <row r="160" spans="3:21" ht="15" thickBot="1" x14ac:dyDescent="0.35">
      <c r="C160" t="s">
        <v>167</v>
      </c>
      <c r="J160" s="71">
        <f>HistoricalData!R259</f>
      </c>
      <c r="K160" s="71">
        <f>HistoricalData!S259</f>
      </c>
      <c r="L160" s="71">
        <f>HistoricalData!T259</f>
      </c>
      <c r="M160" s="71">
        <f>HistoricalData!U259</f>
      </c>
      <c r="N160" s="71">
        <f t="shared" ref="N160:U160" si="100">IFERROR(N154*$H$147/N$147, 0)</f>
      </c>
      <c r="O160" s="71">
        <f t="shared" si="100"/>
      </c>
      <c r="P160" s="71">
        <f t="shared" si="100"/>
      </c>
      <c r="Q160" s="71">
        <f t="shared" si="100"/>
      </c>
      <c r="R160" s="71">
        <f t="shared" si="100"/>
      </c>
      <c r="S160" s="71">
        <f t="shared" si="100"/>
      </c>
      <c r="T160" s="71">
        <f t="shared" si="100"/>
      </c>
      <c r="U160" s="71">
        <f t="shared" si="100"/>
      </c>
    </row>
    <row r="161" spans="2:30" ht="15" thickBot="1" x14ac:dyDescent="0.35">
      <c r="C161" s="2" t="s">
        <v>220</v>
      </c>
      <c r="J161" s="93">
        <f t="shared" ref="J161" si="101">SUM(J159:J160)</f>
      </c>
      <c r="K161" s="93">
        <f t="shared" ref="K161" si="102">SUM(K159:K160)</f>
      </c>
      <c r="L161" s="93">
        <f t="shared" ref="L161" si="103">SUM(L159:L160)</f>
      </c>
      <c r="M161" s="93">
        <f t="shared" ref="M161" si="104">SUM(M159:M160)</f>
      </c>
      <c r="N161" s="93">
        <f t="shared" ref="N161" si="105">SUM(N159:N160)</f>
      </c>
      <c r="O161" s="93">
        <f t="shared" ref="O161" si="106">SUM(O159:O160)</f>
      </c>
      <c r="P161" s="93">
        <f t="shared" ref="P161" si="107">SUM(P159:P160)</f>
      </c>
      <c r="Q161" s="93">
        <f t="shared" ref="Q161" si="108">SUM(Q159:Q160)</f>
      </c>
      <c r="R161" s="93">
        <f t="shared" ref="R161" si="109">SUM(R159:R160)</f>
      </c>
      <c r="S161" s="93">
        <f t="shared" ref="S161" si="110">SUM(S159:S160)</f>
      </c>
      <c r="T161" s="93">
        <f t="shared" ref="T161" si="111">SUM(T159:T160)</f>
      </c>
      <c r="U161" s="93">
        <f t="shared" ref="U161" si="112">SUM(U159:U160)</f>
      </c>
    </row>
    <row r="162" spans="2:30" ht="15" thickTop="1" x14ac:dyDescent="0.3">
      <c r="D162" s="78" t="s">
        <v>225</v>
      </c>
      <c r="L162" s="85"/>
      <c r="M162" s="85"/>
      <c r="N162" s="85">
        <f t="shared" ref="N162" si="113">IFERROR(N161/J161-1, 0)</f>
      </c>
      <c r="O162" s="85">
        <f t="shared" ref="O162" si="114">IFERROR(O161/K161-1, 0)</f>
      </c>
      <c r="P162" s="85">
        <f t="shared" ref="P162" si="115">IFERROR(P161/L161-1, 0)</f>
      </c>
      <c r="Q162" s="85">
        <f t="shared" ref="Q162" si="116">IFERROR(Q161/M161-1, 0)</f>
      </c>
      <c r="R162" s="85">
        <f t="shared" ref="R162" si="117">IFERROR(R161/N161-1, 0)</f>
      </c>
      <c r="S162" s="85">
        <f t="shared" ref="S162" si="118">IFERROR(S161/O161-1, 0)</f>
      </c>
      <c r="T162" s="85">
        <f t="shared" ref="T162" si="119">IFERROR(T161/P161-1, 0)</f>
      </c>
      <c r="U162" s="85">
        <f>IFERROR(U161/Q161-1, 0)</f>
      </c>
    </row>
    <row r="165" spans="2:30" x14ac:dyDescent="0.3">
      <c r="U165" s="227" t="str">
        <f>$U$2</f>
      </c>
    </row>
    <row r="166" spans="2:30" ht="18" x14ac:dyDescent="0.35">
      <c r="B166" s="148" t="str">
        <f>'Assumptions&amp;Scenario'!$K$10</f>
      </c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</row>
    <row r="167" spans="2:30" ht="18" thickBot="1" x14ac:dyDescent="0.35">
      <c r="B167" s="47" t="s">
        <v>407</v>
      </c>
      <c r="C167" s="48"/>
      <c r="D167" s="48"/>
      <c r="E167" s="48"/>
      <c r="F167" s="48"/>
      <c r="G167" s="48"/>
      <c r="H167" s="49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</row>
    <row r="168" spans="2:30" ht="15" thickBot="1" x14ac:dyDescent="0.35">
      <c r="C168" s="2"/>
      <c r="D168" s="2"/>
      <c r="E168" s="2"/>
      <c r="F168" s="2"/>
      <c r="L168" s="42" t="s">
        <v>141</v>
      </c>
      <c r="M168" s="42"/>
      <c r="N168" s="42"/>
      <c r="O168" s="42"/>
      <c r="P168" s="42"/>
      <c r="Q168" s="42"/>
      <c r="R168" s="42"/>
      <c r="S168" s="42"/>
      <c r="T168" s="42"/>
      <c r="U168" s="42"/>
    </row>
    <row r="169" spans="2:30" ht="16.2" thickTop="1" x14ac:dyDescent="0.3">
      <c r="C169" s="43" t="s">
        <v>389</v>
      </c>
      <c r="D169" s="43"/>
      <c r="E169" s="43"/>
      <c r="F169" s="43"/>
      <c r="G169" s="43"/>
      <c r="H169" s="44"/>
      <c r="I169" s="44"/>
      <c r="J169" s="44" t="str">
        <f>"FY"&amp;TEXT(RIGHT(K169,2)-(COLUMN(K169)-COLUMN()),"00")</f>
      </c>
      <c r="K169" s="44" t="str">
        <f>"FY"&amp;TEXT(DATE(YEAR('Data Sheet'!$K$16)+(MONTH('Data Sheet'!$K$16)&gt;3),1,1),"YY")</f>
      </c>
      <c r="L169" s="44" t="str">
        <f t="shared" ref="L169" si="120">"FY"&amp;TEXT(RIGHT(K169,2)+COLUMN()-COLUMN(K169),"00")</f>
      </c>
      <c r="M169" s="44" t="str">
        <f t="shared" ref="M169" si="121">"FY"&amp;TEXT(RIGHT(L169,2)+COLUMN()-COLUMN(L169),"00")</f>
      </c>
      <c r="N169" s="44" t="str">
        <f t="shared" ref="N169" si="122">"FY"&amp;TEXT(RIGHT(M169,2)+COLUMN()-COLUMN(M169),"00")</f>
      </c>
      <c r="O169" s="44" t="str">
        <f t="shared" ref="O169" si="123">"FY"&amp;TEXT(RIGHT(N169,2)+COLUMN()-COLUMN(N169),"00")</f>
      </c>
      <c r="P169" s="44" t="str">
        <f t="shared" ref="P169" si="124">"FY"&amp;TEXT(RIGHT(O169,2)+COLUMN()-COLUMN(O169),"00")</f>
      </c>
      <c r="Q169" s="44" t="str">
        <f t="shared" ref="Q169" si="125">"FY"&amp;TEXT(RIGHT(P169,2)+COLUMN()-COLUMN(P169),"00")</f>
      </c>
      <c r="R169" s="44" t="str">
        <f t="shared" ref="R169" si="126">"FY"&amp;TEXT(RIGHT(Q169,2)+COLUMN()-COLUMN(Q169),"00")</f>
      </c>
      <c r="S169" s="44" t="str">
        <f t="shared" ref="S169" si="127">"FY"&amp;TEXT(RIGHT(R169,2)+COLUMN()-COLUMN(R169),"00")</f>
      </c>
      <c r="T169" s="44" t="str">
        <f t="shared" ref="T169" si="128">"FY"&amp;TEXT(RIGHT(S169,2)+COLUMN()-COLUMN(S169),"00")</f>
      </c>
      <c r="U169" s="44" t="str">
        <f t="shared" ref="U169" si="129">"FY"&amp;TEXT(RIGHT(T169,2)+COLUMN()-COLUMN(T169),"00")</f>
      </c>
    </row>
    <row r="170" spans="2:30" ht="3" customHeight="1" x14ac:dyDescent="0.3"/>
    <row r="171" spans="2:30" ht="3" customHeight="1" x14ac:dyDescent="0.3"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2:30" ht="3" customHeight="1" thickBot="1" x14ac:dyDescent="0.35"/>
    <row r="173" spans="2:30" ht="18.600000000000001" thickBot="1" x14ac:dyDescent="0.4">
      <c r="C173" s="24" t="str">
        <f>$C$87</f>
      </c>
      <c r="H173" s="248">
        <f>$H$10</f>
      </c>
      <c r="J173" s="40">
        <f>J117</f>
      </c>
      <c r="K173" s="40">
        <f>K117</f>
      </c>
      <c r="L173" s="40">
        <f>L117</f>
      </c>
      <c r="M173" s="40">
        <f t="shared" ref="M173:U173" si="130">M117</f>
      </c>
      <c r="N173" s="40">
        <f t="shared" si="130"/>
      </c>
      <c r="O173" s="40">
        <f t="shared" si="130"/>
      </c>
      <c r="P173" s="40">
        <f t="shared" si="130"/>
      </c>
      <c r="Q173" s="40">
        <f t="shared" si="130"/>
      </c>
      <c r="R173" s="40">
        <f t="shared" si="130"/>
      </c>
      <c r="S173" s="40">
        <f t="shared" si="130"/>
      </c>
      <c r="T173" s="40">
        <f t="shared" si="130"/>
      </c>
      <c r="U173" s="40">
        <f t="shared" si="130"/>
      </c>
    </row>
    <row r="174" spans="2:30" x14ac:dyDescent="0.3">
      <c r="D174" s="78" t="s">
        <v>106</v>
      </c>
      <c r="K174" s="92">
        <f>IFERROR(K173/J173-1, 0)</f>
      </c>
      <c r="L174" s="92">
        <f t="shared" ref="L174" si="131">IFERROR(L173/K173-1, 0)</f>
      </c>
      <c r="M174" s="92">
        <f t="shared" ref="M174" si="132">IFERROR(M173/L173-1, 0)</f>
      </c>
      <c r="N174" s="92">
        <f t="shared" ref="N174" si="133">IFERROR(N173/M173-1, 0)</f>
      </c>
      <c r="O174" s="92">
        <f t="shared" ref="O174" si="134">IFERROR(O173/N173-1, 0)</f>
      </c>
      <c r="P174" s="92">
        <f t="shared" ref="P174" si="135">IFERROR(P173/O173-1, 0)</f>
      </c>
      <c r="Q174" s="92">
        <f t="shared" ref="Q174" si="136">IFERROR(Q173/P173-1, 0)</f>
      </c>
      <c r="R174" s="92">
        <f t="shared" ref="R174" si="137">IFERROR(R173/Q173-1, 0)</f>
      </c>
      <c r="S174" s="92">
        <f t="shared" ref="S174" si="138">IFERROR(S173/R173-1, 0)</f>
      </c>
      <c r="T174" s="92">
        <f t="shared" ref="T174" si="139">IFERROR(T173/S173-1, 0)</f>
      </c>
      <c r="U174" s="92">
        <f t="shared" ref="U174" si="140">IFERROR(U173/T173-1, 0)</f>
      </c>
      <c r="Z174" t="s">
        <v>40</v>
      </c>
      <c r="AA174" t="s">
        <v>588</v>
      </c>
      <c r="AB174" t="s">
        <v>70</v>
      </c>
      <c r="AC174" t="s">
        <v>589</v>
      </c>
      <c r="AD174" t="s">
        <v>621</v>
      </c>
    </row>
    <row r="175" spans="2:30" ht="3" customHeight="1" x14ac:dyDescent="0.3"/>
    <row r="176" spans="2:30" ht="18" x14ac:dyDescent="0.35">
      <c r="C176" s="24" t="s">
        <v>83</v>
      </c>
      <c r="H176" s="77" t="str">
        <f>$H$23</f>
      </c>
      <c r="J176" s="91">
        <f>J23</f>
      </c>
      <c r="K176" s="91">
        <f>K23</f>
      </c>
      <c r="L176" s="91">
        <f>L23</f>
      </c>
      <c r="M176" s="91">
        <f t="shared" ref="M176:U176" si="141">M23</f>
      </c>
      <c r="N176" s="91">
        <f t="shared" si="141"/>
      </c>
      <c r="O176" s="91">
        <f t="shared" si="141"/>
      </c>
      <c r="P176" s="91">
        <f t="shared" si="141"/>
      </c>
      <c r="Q176" s="91">
        <f t="shared" si="141"/>
      </c>
      <c r="R176" s="91">
        <f t="shared" si="141"/>
      </c>
      <c r="S176" s="91">
        <f t="shared" si="141"/>
      </c>
      <c r="T176" s="91">
        <f t="shared" si="141"/>
      </c>
      <c r="U176" s="91">
        <f t="shared" si="141"/>
      </c>
      <c r="Y176" t="str">
        <f>L169</f>
      </c>
      <c r="Z176" s="40">
        <f>L203</f>
      </c>
      <c r="AA176" s="40">
        <f>L176</f>
      </c>
      <c r="AB176" s="92">
        <f>L186</f>
      </c>
      <c r="AC176" s="40">
        <f>L197</f>
      </c>
      <c r="AD176" s="25">
        <f>L187</f>
      </c>
    </row>
    <row r="177" spans="3:36" x14ac:dyDescent="0.3">
      <c r="D177" s="78" t="s">
        <v>84</v>
      </c>
      <c r="K177" s="92">
        <f>IFERROR(K176/J176-1, 0)</f>
      </c>
      <c r="L177" s="92">
        <f t="shared" ref="L177" si="142">IFERROR(L176/K176-1, 0)</f>
      </c>
      <c r="M177" s="92">
        <f t="shared" ref="M177" si="143">IFERROR(M176/L176-1, 0)</f>
      </c>
      <c r="N177" s="92">
        <f t="shared" ref="N177" si="144">IFERROR(N176/M176-1, 0)</f>
      </c>
      <c r="O177" s="92">
        <f t="shared" ref="O177" si="145">IFERROR(O176/N176-1, 0)</f>
      </c>
      <c r="P177" s="92">
        <f t="shared" ref="P177" si="146">IFERROR(P176/O176-1, 0)</f>
      </c>
      <c r="Q177" s="92">
        <f t="shared" ref="Q177" si="147">IFERROR(Q176/P176-1, 0)</f>
      </c>
      <c r="R177" s="92">
        <f t="shared" ref="R177" si="148">IFERROR(R176/Q176-1, 0)</f>
      </c>
      <c r="S177" s="92">
        <f t="shared" ref="S177" si="149">IFERROR(S176/R176-1, 0)</f>
      </c>
      <c r="T177" s="92">
        <f t="shared" ref="T177" si="150">IFERROR(T176/S176-1, 0)</f>
      </c>
      <c r="U177" s="92">
        <f t="shared" ref="U177" si="151">IFERROR(U176/T176-1, 0)</f>
      </c>
      <c r="Y177" t="str">
        <f>M169</f>
      </c>
      <c r="Z177" s="40">
        <f>M203</f>
      </c>
      <c r="AA177" s="40">
        <f>M176</f>
      </c>
      <c r="AB177" s="92">
        <f>M186</f>
      </c>
      <c r="AC177" s="40">
        <f>M197</f>
      </c>
      <c r="AD177" s="25">
        <f>M187</f>
      </c>
    </row>
    <row r="178" spans="3:36" ht="18" x14ac:dyDescent="0.35">
      <c r="C178" s="24" t="s">
        <v>232</v>
      </c>
      <c r="J178" s="40">
        <f>J105</f>
      </c>
      <c r="K178" s="40">
        <f>K105</f>
      </c>
      <c r="L178" s="40">
        <f t="shared" ref="L178:U178" si="152">L105</f>
      </c>
      <c r="M178" s="40">
        <f t="shared" si="152"/>
      </c>
      <c r="N178" s="40">
        <f t="shared" si="152"/>
      </c>
      <c r="O178" s="40">
        <f t="shared" si="152"/>
      </c>
      <c r="P178" s="40">
        <f t="shared" si="152"/>
      </c>
      <c r="Q178" s="40">
        <f t="shared" si="152"/>
      </c>
      <c r="R178" s="40">
        <f t="shared" si="152"/>
      </c>
      <c r="S178" s="40">
        <f t="shared" si="152"/>
      </c>
      <c r="T178" s="40">
        <f t="shared" si="152"/>
      </c>
      <c r="U178" s="40">
        <f t="shared" si="152"/>
      </c>
      <c r="Y178" t="str">
        <f>N169</f>
      </c>
      <c r="Z178" s="40">
        <f>N203</f>
      </c>
      <c r="AA178" s="40">
        <f>N176</f>
      </c>
      <c r="AB178" s="92">
        <f>N186</f>
      </c>
      <c r="AC178" s="40">
        <f>N197</f>
      </c>
      <c r="AD178" s="25">
        <f>N187</f>
      </c>
    </row>
    <row r="179" spans="3:36" x14ac:dyDescent="0.3">
      <c r="D179" s="78" t="s">
        <v>409</v>
      </c>
      <c r="K179" s="92">
        <f>IFERROR(K178/J178-1, 0)</f>
      </c>
      <c r="L179" s="92">
        <f t="shared" ref="L179" si="153">IFERROR(L178/K178-1, 0)</f>
      </c>
      <c r="M179" s="92">
        <f t="shared" ref="M179" si="154">IFERROR(M178/L178-1, 0)</f>
      </c>
      <c r="N179" s="92">
        <f t="shared" ref="N179" si="155">IFERROR(N178/M178-1, 0)</f>
      </c>
      <c r="O179" s="92">
        <f t="shared" ref="O179" si="156">IFERROR(O178/N178-1, 0)</f>
      </c>
      <c r="P179" s="92">
        <f t="shared" ref="P179" si="157">IFERROR(P178/O178-1, 0)</f>
      </c>
      <c r="Q179" s="92">
        <f t="shared" ref="Q179" si="158">IFERROR(Q178/P178-1, 0)</f>
      </c>
      <c r="R179" s="92">
        <f t="shared" ref="R179" si="159">IFERROR(R178/Q178-1, 0)</f>
      </c>
      <c r="S179" s="92">
        <f t="shared" ref="S179" si="160">IFERROR(S178/R178-1, 0)</f>
      </c>
      <c r="T179" s="92">
        <f t="shared" ref="T179" si="161">IFERROR(T178/S178-1, 0)</f>
      </c>
      <c r="U179" s="92">
        <f t="shared" ref="U179" si="162">IFERROR(U178/T178-1, 0)</f>
      </c>
    </row>
    <row r="180" spans="3:36" x14ac:dyDescent="0.3">
      <c r="C180" t="s">
        <v>4</v>
      </c>
      <c r="J180" s="40">
        <f>HistoricalData!T327</f>
      </c>
      <c r="K180" s="40">
        <f>HistoricalData!U327</f>
      </c>
      <c r="L180" s="40">
        <f>L492</f>
      </c>
      <c r="M180" s="40">
        <f t="shared" ref="M180:U180" si="163">M492</f>
      </c>
      <c r="N180" s="40">
        <f t="shared" si="163"/>
      </c>
      <c r="O180" s="40">
        <f t="shared" si="163"/>
      </c>
      <c r="P180" s="40">
        <f t="shared" si="163"/>
      </c>
      <c r="Q180" s="40">
        <f t="shared" si="163"/>
      </c>
      <c r="R180" s="40">
        <f t="shared" si="163"/>
      </c>
      <c r="S180" s="40">
        <f t="shared" si="163"/>
      </c>
      <c r="T180" s="40">
        <f t="shared" si="163"/>
      </c>
      <c r="U180" s="40">
        <f t="shared" si="163"/>
      </c>
    </row>
    <row r="181" spans="3:36" ht="18" x14ac:dyDescent="0.35">
      <c r="C181" s="24" t="s">
        <v>73</v>
      </c>
      <c r="J181" s="91">
        <f>HistoricalData!T328</f>
      </c>
      <c r="K181" s="91">
        <f>HistoricalData!U328</f>
      </c>
      <c r="L181" s="91">
        <f t="shared" ref="L181:U181" si="164">L176-L178+L180</f>
      </c>
      <c r="M181" s="91">
        <f t="shared" si="164"/>
      </c>
      <c r="N181" s="91">
        <f t="shared" si="164"/>
      </c>
      <c r="O181" s="91">
        <f t="shared" si="164"/>
      </c>
      <c r="P181" s="91">
        <f t="shared" si="164"/>
      </c>
      <c r="Q181" s="91">
        <f t="shared" si="164"/>
      </c>
      <c r="R181" s="91">
        <f t="shared" si="164"/>
      </c>
      <c r="S181" s="91">
        <f t="shared" si="164"/>
      </c>
      <c r="T181" s="91">
        <f t="shared" si="164"/>
      </c>
      <c r="U181" s="91">
        <f t="shared" si="164"/>
      </c>
    </row>
    <row r="182" spans="3:36" x14ac:dyDescent="0.3">
      <c r="C182" s="2"/>
      <c r="D182" s="78" t="s">
        <v>233</v>
      </c>
      <c r="J182" s="92">
        <f t="shared" ref="J182:T182" si="165">IFERROR(J181/(J176+J180), 0)</f>
      </c>
      <c r="K182" s="92">
        <f t="shared" si="165"/>
      </c>
      <c r="L182" s="92">
        <f t="shared" si="165"/>
      </c>
      <c r="M182" s="92">
        <f t="shared" si="165"/>
      </c>
      <c r="N182" s="92">
        <f t="shared" si="165"/>
      </c>
      <c r="O182" s="92">
        <f t="shared" si="165"/>
      </c>
      <c r="P182" s="92">
        <f t="shared" si="165"/>
      </c>
      <c r="Q182" s="92">
        <f t="shared" si="165"/>
      </c>
      <c r="R182" s="92">
        <f t="shared" si="165"/>
      </c>
      <c r="S182" s="92">
        <f t="shared" si="165"/>
      </c>
      <c r="T182" s="92">
        <f t="shared" si="165"/>
      </c>
      <c r="U182" s="92">
        <f>IFERROR(U181/(U176+U180), 0)</f>
      </c>
    </row>
    <row r="183" spans="3:36" x14ac:dyDescent="0.3">
      <c r="C183" s="2"/>
      <c r="D183" s="78" t="s">
        <v>634</v>
      </c>
      <c r="J183" s="92">
        <f t="shared" ref="J183:T183" si="166">IFERROR((J181-J180)/J176, 0)</f>
      </c>
      <c r="K183" s="92">
        <f t="shared" si="166"/>
      </c>
      <c r="L183" s="92">
        <f t="shared" si="166"/>
      </c>
      <c r="M183" s="92">
        <f t="shared" si="166"/>
      </c>
      <c r="N183" s="92">
        <f t="shared" si="166"/>
      </c>
      <c r="O183" s="92">
        <f t="shared" si="166"/>
      </c>
      <c r="P183" s="92">
        <f t="shared" si="166"/>
      </c>
      <c r="Q183" s="92">
        <f t="shared" si="166"/>
      </c>
      <c r="R183" s="92">
        <f t="shared" si="166"/>
      </c>
      <c r="S183" s="92">
        <f t="shared" si="166"/>
      </c>
      <c r="T183" s="92">
        <f t="shared" si="166"/>
      </c>
      <c r="U183" s="92">
        <f>IFERROR((U181-U180)/U176, 0)</f>
      </c>
    </row>
    <row r="184" spans="3:36" x14ac:dyDescent="0.3">
      <c r="C184" t="s">
        <v>5</v>
      </c>
      <c r="J184" s="40">
        <f>HistoricalData!T331</f>
      </c>
      <c r="K184" s="40">
        <f>HistoricalData!U331</f>
      </c>
      <c r="L184" s="40">
        <f>L410</f>
      </c>
      <c r="M184" s="40">
        <f t="shared" ref="M184:U184" si="167">M410</f>
      </c>
      <c r="N184" s="40">
        <f t="shared" si="167"/>
      </c>
      <c r="O184" s="40">
        <f t="shared" si="167"/>
      </c>
      <c r="P184" s="40">
        <f t="shared" si="167"/>
      </c>
      <c r="Q184" s="40">
        <f t="shared" si="167"/>
      </c>
      <c r="R184" s="40">
        <f t="shared" si="167"/>
      </c>
      <c r="S184" s="40">
        <f t="shared" si="167"/>
      </c>
      <c r="T184" s="40">
        <f t="shared" si="167"/>
      </c>
      <c r="U184" s="40">
        <f t="shared" si="167"/>
      </c>
    </row>
    <row r="185" spans="3:36" ht="18" x14ac:dyDescent="0.35">
      <c r="C185" s="24" t="s">
        <v>74</v>
      </c>
      <c r="J185" s="91">
        <f>HistoricalData!T332</f>
      </c>
      <c r="K185" s="91">
        <f>HistoricalData!U332</f>
      </c>
      <c r="L185" s="91">
        <f t="shared" ref="L185:U185" si="168">L181-L184</f>
      </c>
      <c r="M185" s="91">
        <f t="shared" si="168"/>
      </c>
      <c r="N185" s="91">
        <f t="shared" si="168"/>
      </c>
      <c r="O185" s="91">
        <f t="shared" si="168"/>
      </c>
      <c r="P185" s="91">
        <f t="shared" si="168"/>
      </c>
      <c r="Q185" s="91">
        <f t="shared" si="168"/>
      </c>
      <c r="R185" s="91">
        <f t="shared" si="168"/>
      </c>
      <c r="S185" s="91">
        <f t="shared" si="168"/>
      </c>
      <c r="T185" s="91">
        <f t="shared" si="168"/>
      </c>
      <c r="U185" s="91">
        <f t="shared" si="168"/>
      </c>
    </row>
    <row r="186" spans="3:36" x14ac:dyDescent="0.3">
      <c r="C186" s="2"/>
      <c r="D186" s="78" t="s">
        <v>234</v>
      </c>
      <c r="J186" s="92">
        <f t="shared" ref="J186:T186" si="169">IFERROR(J185/(J176+J180), 0)</f>
      </c>
      <c r="K186" s="92">
        <f t="shared" si="169"/>
      </c>
      <c r="L186" s="92">
        <f t="shared" si="169"/>
      </c>
      <c r="M186" s="92">
        <f t="shared" si="169"/>
      </c>
      <c r="N186" s="92">
        <f t="shared" si="169"/>
      </c>
      <c r="O186" s="92">
        <f t="shared" si="169"/>
      </c>
      <c r="P186" s="92">
        <f t="shared" si="169"/>
      </c>
      <c r="Q186" s="92">
        <f t="shared" si="169"/>
      </c>
      <c r="R186" s="92">
        <f t="shared" si="169"/>
      </c>
      <c r="S186" s="92">
        <f t="shared" si="169"/>
      </c>
      <c r="T186" s="92">
        <f t="shared" si="169"/>
      </c>
      <c r="U186" s="92">
        <f>IFERROR(U185/(U176+U180), 0)</f>
      </c>
    </row>
    <row r="187" spans="3:36" x14ac:dyDescent="0.3">
      <c r="C187" s="2"/>
      <c r="D187" s="78" t="s">
        <v>633</v>
      </c>
      <c r="J187" s="92">
        <f t="shared" ref="J187:T187" si="170">IFERROR((J185-J180)/J176, 0)</f>
      </c>
      <c r="K187" s="92">
        <f t="shared" si="170"/>
      </c>
      <c r="L187" s="92">
        <f t="shared" si="170"/>
      </c>
      <c r="M187" s="92">
        <f t="shared" si="170"/>
      </c>
      <c r="N187" s="92">
        <f t="shared" si="170"/>
      </c>
      <c r="O187" s="92">
        <f t="shared" si="170"/>
      </c>
      <c r="P187" s="92">
        <f t="shared" si="170"/>
      </c>
      <c r="Q187" s="92">
        <f t="shared" si="170"/>
      </c>
      <c r="R187" s="92">
        <f t="shared" si="170"/>
      </c>
      <c r="S187" s="92">
        <f t="shared" si="170"/>
      </c>
      <c r="T187" s="92">
        <f t="shared" si="170"/>
      </c>
      <c r="U187" s="92">
        <f>IFERROR((U185-U180)/U176, 0)</f>
      </c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</row>
    <row r="188" spans="3:36" x14ac:dyDescent="0.3">
      <c r="C188" t="s">
        <v>231</v>
      </c>
      <c r="J188" s="40">
        <f>HistoricalData!T335</f>
      </c>
      <c r="K188" s="40">
        <f>HistoricalData!U335</f>
      </c>
      <c r="L188" s="40">
        <f>L518</f>
      </c>
      <c r="M188" s="40">
        <f t="shared" ref="M188:U188" si="171">M518</f>
      </c>
      <c r="N188" s="40">
        <f t="shared" si="171"/>
      </c>
      <c r="O188" s="40">
        <f t="shared" si="171"/>
      </c>
      <c r="P188" s="40">
        <f t="shared" si="171"/>
      </c>
      <c r="Q188" s="40">
        <f t="shared" si="171"/>
      </c>
      <c r="R188" s="40">
        <f t="shared" si="171"/>
      </c>
      <c r="S188" s="40">
        <f t="shared" si="171"/>
      </c>
      <c r="T188" s="40">
        <f t="shared" si="171"/>
      </c>
      <c r="U188" s="40">
        <f t="shared" si="171"/>
      </c>
    </row>
    <row r="189" spans="3:36" ht="18" x14ac:dyDescent="0.35">
      <c r="C189" s="24" t="s">
        <v>97</v>
      </c>
      <c r="J189" s="91">
        <f>HistoricalData!T336</f>
      </c>
      <c r="K189" s="91">
        <f>HistoricalData!U336</f>
      </c>
      <c r="L189" s="91">
        <f t="shared" ref="L189:U189" si="172">L185-L188</f>
      </c>
      <c r="M189" s="91">
        <f t="shared" si="172"/>
      </c>
      <c r="N189" s="91">
        <f t="shared" si="172"/>
      </c>
      <c r="O189" s="91">
        <f t="shared" si="172"/>
      </c>
      <c r="P189" s="91">
        <f t="shared" si="172"/>
      </c>
      <c r="Q189" s="91">
        <f t="shared" si="172"/>
      </c>
      <c r="R189" s="91">
        <f t="shared" si="172"/>
      </c>
      <c r="S189" s="91">
        <f t="shared" si="172"/>
      </c>
      <c r="T189" s="91">
        <f t="shared" si="172"/>
      </c>
      <c r="U189" s="91">
        <f t="shared" si="172"/>
      </c>
    </row>
    <row r="190" spans="3:36" ht="3" customHeight="1" x14ac:dyDescent="0.3"/>
    <row r="191" spans="3:36" x14ac:dyDescent="0.3">
      <c r="C191" t="s">
        <v>147</v>
      </c>
      <c r="J191" s="40">
        <f>HistoricalData!T338</f>
      </c>
      <c r="K191" s="40"/>
      <c r="L191" s="151">
        <f>'Assumptions&amp;Scenario'!L57</f>
      </c>
      <c r="M191" s="151">
        <f>'Assumptions&amp;Scenario'!M57</f>
      </c>
      <c r="N191" s="151">
        <f>'Assumptions&amp;Scenario'!N57</f>
      </c>
      <c r="O191" s="151">
        <f>'Assumptions&amp;Scenario'!O57</f>
      </c>
      <c r="P191" s="151">
        <f>'Assumptions&amp;Scenario'!P57</f>
      </c>
      <c r="Q191" s="151">
        <f>'Assumptions&amp;Scenario'!Q57</f>
      </c>
      <c r="R191" s="151">
        <f>'Assumptions&amp;Scenario'!R57</f>
      </c>
      <c r="S191" s="151">
        <f>'Assumptions&amp;Scenario'!S57</f>
      </c>
      <c r="T191" s="151">
        <f>'Assumptions&amp;Scenario'!T57</f>
      </c>
      <c r="U191" s="151">
        <f>'Assumptions&amp;Scenario'!U57</f>
      </c>
    </row>
    <row r="192" spans="3:36" ht="3" customHeight="1" x14ac:dyDescent="0.3"/>
    <row r="193" spans="3:21" x14ac:dyDescent="0.3">
      <c r="C193" t="s">
        <v>235</v>
      </c>
      <c r="J193" s="40">
        <f>HistoricalData!T340</f>
      </c>
      <c r="K193" s="40">
        <f>HistoricalData!U340</f>
      </c>
      <c r="L193" s="40">
        <f>L432</f>
      </c>
      <c r="M193" s="40">
        <f t="shared" ref="M193:U193" si="173">M432</f>
      </c>
      <c r="N193" s="40">
        <f t="shared" si="173"/>
      </c>
      <c r="O193" s="40">
        <f t="shared" si="173"/>
      </c>
      <c r="P193" s="40">
        <f t="shared" si="173"/>
      </c>
      <c r="Q193" s="40">
        <f t="shared" si="173"/>
      </c>
      <c r="R193" s="40">
        <f t="shared" si="173"/>
      </c>
      <c r="S193" s="40">
        <f t="shared" si="173"/>
      </c>
      <c r="T193" s="40">
        <f t="shared" si="173"/>
      </c>
      <c r="U193" s="40">
        <f t="shared" si="173"/>
      </c>
    </row>
    <row r="194" spans="3:21" x14ac:dyDescent="0.3">
      <c r="C194" t="s">
        <v>236</v>
      </c>
      <c r="J194" s="40">
        <f>HistoricalData!T341</f>
      </c>
      <c r="K194" s="40">
        <f>HistoricalData!U341</f>
      </c>
      <c r="L194" s="40">
        <f>L433</f>
      </c>
      <c r="M194" s="40">
        <f t="shared" ref="M194:U194" si="174">M433</f>
      </c>
      <c r="N194" s="40">
        <f t="shared" si="174"/>
      </c>
      <c r="O194" s="40">
        <f t="shared" si="174"/>
      </c>
      <c r="P194" s="40">
        <f t="shared" si="174"/>
      </c>
      <c r="Q194" s="40">
        <f t="shared" si="174"/>
      </c>
      <c r="R194" s="40">
        <f t="shared" si="174"/>
      </c>
      <c r="S194" s="40">
        <f t="shared" si="174"/>
      </c>
      <c r="T194" s="40">
        <f t="shared" si="174"/>
      </c>
      <c r="U194" s="40">
        <f t="shared" si="174"/>
      </c>
    </row>
    <row r="195" spans="3:21" ht="18" x14ac:dyDescent="0.35">
      <c r="C195" s="24" t="s">
        <v>237</v>
      </c>
      <c r="J195" s="91">
        <f>HistoricalData!T342</f>
      </c>
      <c r="K195" s="91">
        <f>HistoricalData!U342</f>
      </c>
      <c r="L195" s="91">
        <f t="shared" ref="L195:U195" si="175">L194+L193</f>
      </c>
      <c r="M195" s="91">
        <f t="shared" si="175"/>
      </c>
      <c r="N195" s="91">
        <f t="shared" si="175"/>
      </c>
      <c r="O195" s="91">
        <f t="shared" si="175"/>
      </c>
      <c r="P195" s="91">
        <f t="shared" si="175"/>
      </c>
      <c r="Q195" s="91">
        <f t="shared" si="175"/>
      </c>
      <c r="R195" s="91">
        <f t="shared" si="175"/>
      </c>
      <c r="S195" s="91">
        <f t="shared" si="175"/>
      </c>
      <c r="T195" s="91">
        <f t="shared" si="175"/>
      </c>
      <c r="U195" s="91">
        <f t="shared" si="175"/>
      </c>
    </row>
    <row r="196" spans="3:21" ht="15" thickBot="1" x14ac:dyDescent="0.35">
      <c r="D196" s="78" t="s">
        <v>86</v>
      </c>
      <c r="J196" s="92">
        <f>HistoricalData!T343</f>
      </c>
      <c r="K196" s="92">
        <f>HistoricalData!U343</f>
      </c>
      <c r="L196" s="92">
        <f t="shared" ref="L196:U196" si="176">IFERROR(L195/(L189+L191), 0)</f>
      </c>
      <c r="M196" s="92">
        <f t="shared" si="176"/>
      </c>
      <c r="N196" s="92">
        <f t="shared" si="176"/>
      </c>
      <c r="O196" s="92">
        <f t="shared" si="176"/>
      </c>
      <c r="P196" s="92">
        <f t="shared" si="176"/>
      </c>
      <c r="Q196" s="92">
        <f t="shared" si="176"/>
      </c>
      <c r="R196" s="92">
        <f t="shared" si="176"/>
      </c>
      <c r="S196" s="92">
        <f t="shared" si="176"/>
      </c>
      <c r="T196" s="92">
        <f t="shared" si="176"/>
      </c>
      <c r="U196" s="92">
        <f t="shared" si="176"/>
      </c>
    </row>
    <row r="197" spans="3:21" ht="18.600000000000001" thickBot="1" x14ac:dyDescent="0.4">
      <c r="C197" s="24" t="s">
        <v>238</v>
      </c>
      <c r="J197" s="246">
        <f>HistoricalData!T344</f>
      </c>
      <c r="K197" s="246">
        <f>HistoricalData!U344</f>
      </c>
      <c r="L197" s="246">
        <f t="shared" ref="L197:U197" si="177">L189+L191-L195</f>
      </c>
      <c r="M197" s="246">
        <f t="shared" si="177"/>
      </c>
      <c r="N197" s="246">
        <f t="shared" si="177"/>
      </c>
      <c r="O197" s="246">
        <f t="shared" si="177"/>
      </c>
      <c r="P197" s="246">
        <f t="shared" si="177"/>
      </c>
      <c r="Q197" s="246">
        <f t="shared" si="177"/>
      </c>
      <c r="R197" s="246">
        <f t="shared" si="177"/>
      </c>
      <c r="S197" s="246">
        <f t="shared" si="177"/>
      </c>
      <c r="T197" s="246">
        <f t="shared" si="177"/>
      </c>
      <c r="U197" s="246">
        <f t="shared" si="177"/>
      </c>
    </row>
    <row r="198" spans="3:21" ht="15" thickTop="1" x14ac:dyDescent="0.3">
      <c r="D198" s="78" t="s">
        <v>244</v>
      </c>
      <c r="J198" s="92">
        <f>HistoricalData!T345</f>
      </c>
      <c r="K198" s="92">
        <f>HistoricalData!U345</f>
      </c>
      <c r="L198" s="92">
        <f t="shared" ref="L198:U198" si="178">IFERROR(L197/L176, 0)</f>
      </c>
      <c r="M198" s="92">
        <f t="shared" si="178"/>
      </c>
      <c r="N198" s="92">
        <f t="shared" si="178"/>
      </c>
      <c r="O198" s="92">
        <f t="shared" si="178"/>
      </c>
      <c r="P198" s="92">
        <f t="shared" si="178"/>
      </c>
      <c r="Q198" s="92">
        <f t="shared" si="178"/>
      </c>
      <c r="R198" s="92">
        <f t="shared" si="178"/>
      </c>
      <c r="S198" s="92">
        <f t="shared" si="178"/>
      </c>
      <c r="T198" s="92">
        <f t="shared" si="178"/>
      </c>
      <c r="U198" s="92">
        <f t="shared" si="178"/>
      </c>
    </row>
    <row r="199" spans="3:21" ht="3" customHeight="1" thickBot="1" x14ac:dyDescent="0.35"/>
    <row r="200" spans="3:21" ht="18.600000000000001" thickBot="1" x14ac:dyDescent="0.4">
      <c r="C200" s="24" t="s">
        <v>239</v>
      </c>
      <c r="J200" s="246">
        <f>HistoricalData!T347</f>
      </c>
      <c r="K200" s="246">
        <f>HistoricalData!U347</f>
      </c>
      <c r="L200" s="246">
        <f>L197</f>
      </c>
      <c r="M200" s="246">
        <f t="shared" ref="M200:U200" si="179">M197</f>
      </c>
      <c r="N200" s="246">
        <f t="shared" si="179"/>
      </c>
      <c r="O200" s="246">
        <f t="shared" si="179"/>
      </c>
      <c r="P200" s="246">
        <f t="shared" si="179"/>
      </c>
      <c r="Q200" s="246">
        <f t="shared" si="179"/>
      </c>
      <c r="R200" s="246">
        <f t="shared" si="179"/>
      </c>
      <c r="S200" s="246">
        <f t="shared" si="179"/>
      </c>
      <c r="T200" s="246">
        <f t="shared" si="179"/>
      </c>
      <c r="U200" s="246">
        <f t="shared" si="179"/>
      </c>
    </row>
    <row r="201" spans="3:21" ht="15" thickTop="1" x14ac:dyDescent="0.3"/>
    <row r="202" spans="3:21" x14ac:dyDescent="0.3">
      <c r="C202" s="2" t="s">
        <v>240</v>
      </c>
      <c r="H202" s="77" t="str">
        <f>HistoricalData!H349</f>
      </c>
      <c r="J202" s="40">
        <f>HistoricalData!T349</f>
      </c>
      <c r="K202" s="40">
        <f>HistoricalData!U349</f>
      </c>
      <c r="L202" s="40">
        <f>L534</f>
      </c>
      <c r="M202" s="40">
        <f t="shared" ref="M202:U202" si="180">M534</f>
      </c>
      <c r="N202" s="40">
        <f t="shared" si="180"/>
      </c>
      <c r="O202" s="40">
        <f t="shared" si="180"/>
      </c>
      <c r="P202" s="40">
        <f t="shared" si="180"/>
      </c>
      <c r="Q202" s="40">
        <f t="shared" si="180"/>
      </c>
      <c r="R202" s="40">
        <f t="shared" si="180"/>
      </c>
      <c r="S202" s="40">
        <f t="shared" si="180"/>
      </c>
      <c r="T202" s="40">
        <f t="shared" si="180"/>
      </c>
      <c r="U202" s="40">
        <f t="shared" si="180"/>
      </c>
    </row>
    <row r="203" spans="3:21" x14ac:dyDescent="0.3">
      <c r="C203" s="2" t="s">
        <v>368</v>
      </c>
      <c r="H203" s="77" t="str">
        <f>HistoricalData!H350</f>
      </c>
      <c r="J203" s="40">
        <f>HistoricalData!T350</f>
      </c>
      <c r="K203" s="40">
        <f>HistoricalData!U350</f>
      </c>
      <c r="L203" s="40">
        <f>IFERROR(L200/L202, 0)</f>
      </c>
      <c r="M203" s="40">
        <f t="shared" ref="M203:U203" si="181">IFERROR(M200/M202, 0)</f>
      </c>
      <c r="N203" s="40">
        <f t="shared" si="181"/>
      </c>
      <c r="O203" s="40">
        <f t="shared" si="181"/>
      </c>
      <c r="P203" s="40">
        <f t="shared" si="181"/>
      </c>
      <c r="Q203" s="40">
        <f t="shared" si="181"/>
      </c>
      <c r="R203" s="40">
        <f t="shared" si="181"/>
      </c>
      <c r="S203" s="40">
        <f t="shared" si="181"/>
      </c>
      <c r="T203" s="40">
        <f t="shared" si="181"/>
      </c>
      <c r="U203" s="40">
        <f t="shared" si="181"/>
      </c>
    </row>
    <row r="204" spans="3:21" x14ac:dyDescent="0.3">
      <c r="C204" s="2" t="s">
        <v>116</v>
      </c>
      <c r="H204" s="77" t="str">
        <f>H203</f>
      </c>
      <c r="J204" s="40">
        <f>HistoricalData!T351</f>
      </c>
      <c r="K204" s="40">
        <f>HistoricalData!U351</f>
      </c>
      <c r="L204" s="40"/>
      <c r="M204" s="40"/>
      <c r="N204" s="40"/>
      <c r="O204" s="40"/>
      <c r="P204" s="40"/>
      <c r="Q204" s="40"/>
      <c r="R204" s="40"/>
      <c r="S204" s="40"/>
      <c r="T204" s="40"/>
      <c r="U204" s="40"/>
    </row>
    <row r="205" spans="3:21" x14ac:dyDescent="0.3">
      <c r="C205" s="2" t="s">
        <v>241</v>
      </c>
      <c r="H205" s="77" t="str">
        <f>$H$23</f>
      </c>
      <c r="J205" s="40">
        <f>HistoricalData!T352</f>
      </c>
      <c r="K205" s="40">
        <f>HistoricalData!U352</f>
      </c>
      <c r="L205" s="40"/>
      <c r="M205" s="40"/>
      <c r="N205" s="40"/>
      <c r="O205" s="40"/>
      <c r="P205" s="40"/>
      <c r="Q205" s="40"/>
      <c r="R205" s="40"/>
      <c r="S205" s="40"/>
      <c r="T205" s="40"/>
      <c r="U205" s="40"/>
    </row>
    <row r="206" spans="3:21" x14ac:dyDescent="0.3">
      <c r="C206" s="2" t="s">
        <v>242</v>
      </c>
      <c r="J206" s="40">
        <f>HistoricalData!T353</f>
      </c>
      <c r="K206" s="40">
        <f>HistoricalData!U353</f>
      </c>
      <c r="L206" s="40"/>
      <c r="M206" s="40"/>
      <c r="N206" s="40"/>
      <c r="O206" s="40"/>
      <c r="P206" s="40"/>
      <c r="Q206" s="40"/>
      <c r="R206" s="40"/>
      <c r="S206" s="40"/>
      <c r="T206" s="40"/>
      <c r="U206" s="40"/>
    </row>
    <row r="209" spans="2:22" x14ac:dyDescent="0.3">
      <c r="U209" s="227" t="str">
        <f>$U$2</f>
      </c>
    </row>
    <row r="210" spans="2:22" ht="18" x14ac:dyDescent="0.35">
      <c r="B210" s="148" t="str">
        <f>'Assumptions&amp;Scenario'!$K$10</f>
      </c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</row>
    <row r="211" spans="2:22" ht="18" thickBot="1" x14ac:dyDescent="0.35">
      <c r="B211" s="47" t="s">
        <v>408</v>
      </c>
      <c r="C211" s="48"/>
      <c r="D211" s="48"/>
      <c r="E211" s="48"/>
      <c r="F211" s="48"/>
      <c r="G211" s="48"/>
      <c r="H211" s="49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</row>
    <row r="212" spans="2:22" ht="15" thickBot="1" x14ac:dyDescent="0.35">
      <c r="C212" s="2"/>
      <c r="D212" s="2"/>
      <c r="E212" s="2"/>
      <c r="F212" s="2"/>
      <c r="L212" s="80" t="s">
        <v>141</v>
      </c>
      <c r="M212" s="80"/>
      <c r="N212" s="42"/>
      <c r="O212" s="42"/>
      <c r="P212" s="42"/>
      <c r="Q212" s="42"/>
      <c r="R212" s="42"/>
      <c r="S212" s="42"/>
      <c r="T212" s="42"/>
      <c r="U212" s="42"/>
    </row>
    <row r="213" spans="2:22" ht="16.2" thickTop="1" x14ac:dyDescent="0.3">
      <c r="C213" s="43" t="s">
        <v>25</v>
      </c>
      <c r="D213" s="43"/>
      <c r="E213" s="43"/>
      <c r="F213" s="43"/>
      <c r="G213" s="43"/>
      <c r="H213" s="44"/>
      <c r="I213" s="44"/>
      <c r="J213" s="44" t="str">
        <f>"FY"&amp;TEXT(MID(K213,3,2)-IF(RIGHT(K213,1)="1",1,0),"00")&amp;"Q"&amp;CHOOSE(RIGHT(K213,1)+0,4,1,2,3)</f>
      </c>
      <c r="K213" s="44" t="str">
        <f>"FY"&amp;TEXT(MID(L213,3,2)-IF(RIGHT(L213,1)="1",1,0),"00")&amp;"Q"&amp;CHOOSE(RIGHT(L213,1)+0,4,1,2,3)</f>
      </c>
      <c r="L213" s="44" t="str">
        <f>"FY"&amp;TEXT(MID(M213,3,2)-IF(RIGHT(M213,1)="1",1,0),"00")&amp;"Q"&amp;CHOOSE(RIGHT(M213,1)+0,4,1,2,3)</f>
      </c>
      <c r="M213" s="44" t="str">
        <f>"FY"&amp;TEXT(YEAR('Data Sheet'!$K$41)+(MONTH('Data Sheet'!$K$41)&gt;3)-2000,"00")&amp;"Q"&amp;INT((MOD(MONTH('Data Sheet'!$K$41)-4,12))/3)+1</f>
      </c>
      <c r="N213" s="44" t="str">
        <f t="shared" ref="N213" si="182">"FY"&amp;TEXT(MID(M213,3,2)+IF(RIGHT(M213,1)="4",1,0),"00")&amp;"Q"&amp;MOD(RIGHT(M213,1),4)+1</f>
      </c>
      <c r="O213" s="44" t="str">
        <f t="shared" ref="O213" si="183">"FY"&amp;TEXT(MID(N213,3,2)+IF(RIGHT(N213,1)="4",1,0),"00")&amp;"Q"&amp;MOD(RIGHT(N213,1),4)+1</f>
      </c>
      <c r="P213" s="44" t="str">
        <f t="shared" ref="P213" si="184">"FY"&amp;TEXT(MID(O213,3,2)+IF(RIGHT(O213,1)="4",1,0),"00")&amp;"Q"&amp;MOD(RIGHT(O213,1),4)+1</f>
      </c>
      <c r="Q213" s="44" t="str">
        <f t="shared" ref="Q213" si="185">"FY"&amp;TEXT(MID(P213,3,2)+IF(RIGHT(P213,1)="4",1,0),"00")&amp;"Q"&amp;MOD(RIGHT(P213,1),4)+1</f>
      </c>
      <c r="R213" s="44" t="str">
        <f t="shared" ref="R213" si="186">"FY"&amp;TEXT(MID(Q213,3,2)+IF(RIGHT(Q213,1)="4",1,0),"00")&amp;"Q"&amp;MOD(RIGHT(Q213,1),4)+1</f>
      </c>
      <c r="S213" s="44" t="str">
        <f t="shared" ref="S213" si="187">"FY"&amp;TEXT(MID(R213,3,2)+IF(RIGHT(R213,1)="4",1,0),"00")&amp;"Q"&amp;MOD(RIGHT(R213,1),4)+1</f>
      </c>
      <c r="T213" s="44" t="str">
        <f t="shared" ref="T213" si="188">"FY"&amp;TEXT(MID(S213,3,2)+IF(RIGHT(S213,1)="4",1,0),"00")&amp;"Q"&amp;MOD(RIGHT(S213,1),4)+1</f>
      </c>
      <c r="U213" s="44" t="str">
        <f t="shared" ref="U213" si="189">"FY"&amp;TEXT(MID(T213,3,2)+IF(RIGHT(T213,1)="4",1,0),"00")&amp;"Q"&amp;MOD(RIGHT(T213,1),4)+1</f>
      </c>
    </row>
    <row r="214" spans="2:22" ht="3" customHeight="1" x14ac:dyDescent="0.3"/>
    <row r="215" spans="2:22" ht="3" customHeight="1" x14ac:dyDescent="0.3"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2:22" ht="3" customHeight="1" thickBot="1" x14ac:dyDescent="0.35"/>
    <row r="217" spans="2:22" ht="18.600000000000001" thickBot="1" x14ac:dyDescent="0.4">
      <c r="C217" s="24" t="str">
        <f>$C$87</f>
      </c>
      <c r="H217" s="248">
        <f>$H$10</f>
      </c>
      <c r="J217" s="40">
        <f>J42</f>
      </c>
      <c r="K217" s="40">
        <f t="shared" ref="K217:U217" si="190">K42</f>
      </c>
      <c r="L217" s="40">
        <f t="shared" si="190"/>
      </c>
      <c r="M217" s="40">
        <f t="shared" si="190"/>
      </c>
      <c r="N217" s="40">
        <f t="shared" si="190"/>
      </c>
      <c r="O217" s="40">
        <f t="shared" si="190"/>
      </c>
      <c r="P217" s="40">
        <f t="shared" si="190"/>
      </c>
      <c r="Q217" s="40">
        <f t="shared" si="190"/>
      </c>
      <c r="R217" s="40">
        <f t="shared" si="190"/>
      </c>
      <c r="S217" s="40">
        <f t="shared" si="190"/>
      </c>
      <c r="T217" s="40">
        <f t="shared" si="190"/>
      </c>
      <c r="U217" s="40">
        <f t="shared" si="190"/>
      </c>
    </row>
    <row r="218" spans="2:22" x14ac:dyDescent="0.3">
      <c r="D218" s="78" t="s">
        <v>106</v>
      </c>
      <c r="K218" s="92">
        <f>IFERROR(K217/J217-1, 0)</f>
      </c>
      <c r="L218" s="92">
        <f t="shared" ref="L218" si="191">IFERROR(L217/K217-1, 0)</f>
      </c>
      <c r="M218" s="92">
        <f t="shared" ref="M218" si="192">IFERROR(M217/L217-1, 0)</f>
      </c>
      <c r="N218" s="92">
        <f t="shared" ref="N218" si="193">IFERROR(N217/M217-1, 0)</f>
      </c>
      <c r="O218" s="92">
        <f t="shared" ref="O218" si="194">IFERROR(O217/N217-1, 0)</f>
      </c>
      <c r="P218" s="92">
        <f t="shared" ref="P218" si="195">IFERROR(P217/O217-1, 0)</f>
      </c>
      <c r="Q218" s="92">
        <f t="shared" ref="Q218" si="196">IFERROR(Q217/P217-1, 0)</f>
      </c>
      <c r="R218" s="92">
        <f t="shared" ref="R218" si="197">IFERROR(R217/Q217-1, 0)</f>
      </c>
      <c r="S218" s="92">
        <f t="shared" ref="S218" si="198">IFERROR(S217/R217-1, 0)</f>
      </c>
      <c r="T218" s="92">
        <f t="shared" ref="T218" si="199">IFERROR(T217/S217-1, 0)</f>
      </c>
      <c r="U218" s="92">
        <f t="shared" ref="U218" si="200">IFERROR(U217/T217-1, 0)</f>
      </c>
    </row>
    <row r="219" spans="2:22" ht="3" customHeight="1" x14ac:dyDescent="0.3"/>
    <row r="220" spans="2:22" ht="18" x14ac:dyDescent="0.35">
      <c r="C220" s="24" t="s">
        <v>83</v>
      </c>
      <c r="H220" s="77" t="str">
        <f>$H$23</f>
      </c>
      <c r="J220" s="40">
        <f>J48</f>
      </c>
      <c r="K220" s="40">
        <f t="shared" ref="K220:U220" si="201">K48</f>
      </c>
      <c r="L220" s="40">
        <f t="shared" si="201"/>
      </c>
      <c r="M220" s="40">
        <f t="shared" si="201"/>
      </c>
      <c r="N220" s="40">
        <f t="shared" si="201"/>
      </c>
      <c r="O220" s="40">
        <f t="shared" si="201"/>
      </c>
      <c r="P220" s="40">
        <f t="shared" si="201"/>
      </c>
      <c r="Q220" s="40">
        <f t="shared" si="201"/>
      </c>
      <c r="R220" s="40">
        <f t="shared" si="201"/>
      </c>
      <c r="S220" s="40">
        <f t="shared" si="201"/>
      </c>
      <c r="T220" s="40">
        <f t="shared" si="201"/>
      </c>
      <c r="U220" s="40">
        <f t="shared" si="201"/>
      </c>
    </row>
    <row r="221" spans="2:22" x14ac:dyDescent="0.3">
      <c r="D221" s="78" t="s">
        <v>84</v>
      </c>
      <c r="K221" s="92">
        <f>IFERROR(K220/J220-1, 0)</f>
      </c>
      <c r="L221" s="92">
        <f t="shared" ref="L221" si="202">IFERROR(L220/K220-1, 0)</f>
      </c>
      <c r="M221" s="92">
        <f t="shared" ref="M221" si="203">IFERROR(M220/L220-1, 0)</f>
      </c>
      <c r="N221" s="92">
        <f t="shared" ref="N221" si="204">IFERROR(N220/M220-1, 0)</f>
      </c>
      <c r="O221" s="92">
        <f t="shared" ref="O221" si="205">IFERROR(O220/N220-1, 0)</f>
      </c>
      <c r="P221" s="92">
        <f t="shared" ref="P221" si="206">IFERROR(P220/O220-1, 0)</f>
      </c>
      <c r="Q221" s="92">
        <f t="shared" ref="Q221" si="207">IFERROR(Q220/P220-1, 0)</f>
      </c>
      <c r="R221" s="92">
        <f t="shared" ref="R221" si="208">IFERROR(R220/Q220-1, 0)</f>
      </c>
      <c r="S221" s="92">
        <f t="shared" ref="S221" si="209">IFERROR(S220/R220-1, 0)</f>
      </c>
      <c r="T221" s="92">
        <f t="shared" ref="T221" si="210">IFERROR(T220/S220-1, 0)</f>
      </c>
      <c r="U221" s="92">
        <f t="shared" ref="U221" si="211">IFERROR(U220/T220-1, 0)</f>
      </c>
    </row>
    <row r="222" spans="2:22" ht="18" x14ac:dyDescent="0.35">
      <c r="C222" s="24" t="s">
        <v>232</v>
      </c>
      <c r="J222" s="40">
        <f>J155</f>
      </c>
      <c r="K222" s="40">
        <f t="shared" ref="K222:U222" si="212">K155</f>
      </c>
      <c r="L222" s="40">
        <f t="shared" si="212"/>
      </c>
      <c r="M222" s="40">
        <f t="shared" si="212"/>
      </c>
      <c r="N222" s="40">
        <f t="shared" si="212"/>
      </c>
      <c r="O222" s="40">
        <f t="shared" si="212"/>
      </c>
      <c r="P222" s="40">
        <f t="shared" si="212"/>
      </c>
      <c r="Q222" s="40">
        <f t="shared" si="212"/>
      </c>
      <c r="R222" s="40">
        <f t="shared" si="212"/>
      </c>
      <c r="S222" s="40">
        <f t="shared" si="212"/>
      </c>
      <c r="T222" s="40">
        <f t="shared" si="212"/>
      </c>
      <c r="U222" s="40">
        <f t="shared" si="212"/>
      </c>
    </row>
    <row r="223" spans="2:22" x14ac:dyDescent="0.3">
      <c r="D223" s="78" t="s">
        <v>225</v>
      </c>
      <c r="L223" s="85"/>
      <c r="M223" s="85"/>
      <c r="N223" s="85">
        <f t="shared" ref="N223" si="213">IFERROR(N222/J222-1, 0)</f>
      </c>
      <c r="O223" s="85">
        <f t="shared" ref="O223" si="214">IFERROR(O222/K222-1, 0)</f>
      </c>
      <c r="P223" s="85">
        <f t="shared" ref="P223" si="215">IFERROR(P222/L222-1, 0)</f>
      </c>
      <c r="Q223" s="85">
        <f t="shared" ref="Q223" si="216">IFERROR(Q222/M222-1, 0)</f>
      </c>
      <c r="R223" s="85">
        <f t="shared" ref="R223" si="217">IFERROR(R222/N222-1, 0)</f>
      </c>
      <c r="S223" s="85">
        <f t="shared" ref="S223" si="218">IFERROR(S222/O222-1, 0)</f>
      </c>
      <c r="T223" s="85">
        <f t="shared" ref="T223" si="219">IFERROR(T222/P222-1, 0)</f>
      </c>
      <c r="U223" s="85">
        <f>IFERROR(U222/Q222-1, 0)</f>
      </c>
    </row>
    <row r="224" spans="2:22" x14ac:dyDescent="0.3">
      <c r="C224" t="s">
        <v>4</v>
      </c>
      <c r="J224" s="40">
        <f>HistoricalData!R369</f>
      </c>
      <c r="K224" s="40">
        <f>HistoricalData!S369</f>
      </c>
      <c r="L224" s="40">
        <f>HistoricalData!T369</f>
      </c>
      <c r="M224" s="40">
        <f>HistoricalData!U369</f>
      </c>
      <c r="N224" s="40">
        <f>IFERROR(HLOOKUP(LEFT(N213, 4), $L$169:$U$180, ROWS($L$169:$L$180), FALSE)/4, 0)</f>
      </c>
      <c r="O224" s="40">
        <f t="shared" ref="O224:U224" si="220">IFERROR(HLOOKUP(LEFT(O213, 4), $L$169:$U$180, ROWS($L$169:$L$180), FALSE)/4, 0)</f>
      </c>
      <c r="P224" s="40">
        <f t="shared" si="220"/>
      </c>
      <c r="Q224" s="40">
        <f t="shared" si="220"/>
      </c>
      <c r="R224" s="40">
        <f t="shared" si="220"/>
      </c>
      <c r="S224" s="40">
        <f t="shared" si="220"/>
      </c>
      <c r="T224" s="40">
        <f t="shared" si="220"/>
      </c>
      <c r="U224" s="40">
        <f t="shared" si="220"/>
      </c>
    </row>
    <row r="225" spans="3:36" ht="18" x14ac:dyDescent="0.35">
      <c r="C225" s="24" t="s">
        <v>73</v>
      </c>
      <c r="J225" s="91">
        <f>J220-J222+J224</f>
      </c>
      <c r="K225" s="91">
        <f>K220-K222+K224</f>
      </c>
      <c r="L225" s="91">
        <f t="shared" ref="L225" si="221">L220-L222+L224</f>
      </c>
      <c r="M225" s="91">
        <f t="shared" ref="M225" si="222">M220-M222+M224</f>
      </c>
      <c r="N225" s="91">
        <f t="shared" ref="N225" si="223">N220-N222+N224</f>
      </c>
      <c r="O225" s="91">
        <f t="shared" ref="O225" si="224">O220-O222+O224</f>
      </c>
      <c r="P225" s="91">
        <f t="shared" ref="P225" si="225">P220-P222+P224</f>
      </c>
      <c r="Q225" s="91">
        <f t="shared" ref="Q225" si="226">Q220-Q222+Q224</f>
      </c>
      <c r="R225" s="91">
        <f t="shared" ref="R225" si="227">R220-R222+R224</f>
      </c>
      <c r="S225" s="91">
        <f t="shared" ref="S225" si="228">S220-S222+S224</f>
      </c>
      <c r="T225" s="91">
        <f t="shared" ref="T225" si="229">T220-T222+T224</f>
      </c>
      <c r="U225" s="91">
        <f t="shared" ref="U225" si="230">U220-U222+U224</f>
      </c>
    </row>
    <row r="226" spans="3:36" x14ac:dyDescent="0.3">
      <c r="C226" s="2"/>
      <c r="D226" s="78" t="s">
        <v>233</v>
      </c>
      <c r="J226" s="92">
        <f t="shared" ref="J226:T226" si="231">IFERROR(J225/(J220+J224), 0)</f>
      </c>
      <c r="K226" s="92">
        <f t="shared" si="231"/>
      </c>
      <c r="L226" s="92">
        <f t="shared" si="231"/>
      </c>
      <c r="M226" s="92">
        <f t="shared" si="231"/>
      </c>
      <c r="N226" s="92">
        <f t="shared" si="231"/>
      </c>
      <c r="O226" s="92">
        <f t="shared" si="231"/>
      </c>
      <c r="P226" s="92">
        <f t="shared" si="231"/>
      </c>
      <c r="Q226" s="92">
        <f t="shared" si="231"/>
      </c>
      <c r="R226" s="92">
        <f t="shared" si="231"/>
      </c>
      <c r="S226" s="92">
        <f t="shared" si="231"/>
      </c>
      <c r="T226" s="92">
        <f t="shared" si="231"/>
      </c>
      <c r="U226" s="92">
        <f>IFERROR(U225/(U220+U224), 0)</f>
      </c>
    </row>
    <row r="227" spans="3:36" x14ac:dyDescent="0.3">
      <c r="C227" s="2"/>
      <c r="D227" s="78" t="s">
        <v>634</v>
      </c>
      <c r="J227" s="92">
        <f t="shared" ref="J227:T227" si="232">IFERROR((J225-J224)/J220, 0)</f>
      </c>
      <c r="K227" s="92">
        <f t="shared" si="232"/>
      </c>
      <c r="L227" s="92">
        <f t="shared" si="232"/>
      </c>
      <c r="M227" s="92">
        <f t="shared" si="232"/>
      </c>
      <c r="N227" s="92">
        <f t="shared" si="232"/>
      </c>
      <c r="O227" s="92">
        <f t="shared" si="232"/>
      </c>
      <c r="P227" s="92">
        <f t="shared" si="232"/>
      </c>
      <c r="Q227" s="92">
        <f t="shared" si="232"/>
      </c>
      <c r="R227" s="92">
        <f t="shared" si="232"/>
      </c>
      <c r="S227" s="92">
        <f t="shared" si="232"/>
      </c>
      <c r="T227" s="92">
        <f t="shared" si="232"/>
      </c>
      <c r="U227" s="92">
        <f>IFERROR((U225-U224)/U220, 0)</f>
      </c>
    </row>
    <row r="228" spans="3:36" x14ac:dyDescent="0.3">
      <c r="C228" t="s">
        <v>5</v>
      </c>
      <c r="J228" s="40">
        <f>HistoricalData!R373</f>
      </c>
      <c r="K228" s="40">
        <f>HistoricalData!S373</f>
      </c>
      <c r="L228" s="40">
        <f>HistoricalData!T373</f>
      </c>
      <c r="M228" s="40">
        <f>HistoricalData!U373</f>
      </c>
      <c r="N228" s="40">
        <f>IFERROR(HLOOKUP(LEFT(N213, 4), $L$169:$U$184, ROWS($L$169:$L$184), FALSE)/4, 0)</f>
      </c>
      <c r="O228" s="40">
        <f t="shared" ref="O228:U228" si="233">IFERROR(HLOOKUP(LEFT(O213, 4), $L$169:$U$184, ROWS($L$169:$L$184), FALSE)/4, 0)</f>
      </c>
      <c r="P228" s="40">
        <f t="shared" si="233"/>
      </c>
      <c r="Q228" s="40">
        <f t="shared" si="233"/>
      </c>
      <c r="R228" s="40">
        <f t="shared" si="233"/>
      </c>
      <c r="S228" s="40">
        <f t="shared" si="233"/>
      </c>
      <c r="T228" s="40">
        <f t="shared" si="233"/>
      </c>
      <c r="U228" s="40">
        <f t="shared" si="233"/>
      </c>
    </row>
    <row r="229" spans="3:36" ht="18" x14ac:dyDescent="0.35">
      <c r="C229" s="24" t="s">
        <v>74</v>
      </c>
      <c r="J229" s="91">
        <f t="shared" ref="J229:U229" si="234">J225-J228</f>
      </c>
      <c r="K229" s="91">
        <f t="shared" si="234"/>
      </c>
      <c r="L229" s="91">
        <f t="shared" si="234"/>
      </c>
      <c r="M229" s="91">
        <f t="shared" si="234"/>
      </c>
      <c r="N229" s="91">
        <f t="shared" si="234"/>
      </c>
      <c r="O229" s="91">
        <f t="shared" si="234"/>
      </c>
      <c r="P229" s="91">
        <f t="shared" si="234"/>
      </c>
      <c r="Q229" s="91">
        <f t="shared" si="234"/>
      </c>
      <c r="R229" s="91">
        <f t="shared" si="234"/>
      </c>
      <c r="S229" s="91">
        <f t="shared" si="234"/>
      </c>
      <c r="T229" s="91">
        <f t="shared" si="234"/>
      </c>
      <c r="U229" s="91">
        <f t="shared" si="234"/>
      </c>
    </row>
    <row r="230" spans="3:36" x14ac:dyDescent="0.3">
      <c r="C230" s="2"/>
      <c r="D230" s="78" t="s">
        <v>234</v>
      </c>
      <c r="J230" s="92">
        <f t="shared" ref="J230:T230" si="235">IFERROR(J229/(J220+J224), 0)</f>
      </c>
      <c r="K230" s="92">
        <f t="shared" si="235"/>
      </c>
      <c r="L230" s="92">
        <f t="shared" si="235"/>
      </c>
      <c r="M230" s="92">
        <f t="shared" si="235"/>
      </c>
      <c r="N230" s="92">
        <f t="shared" si="235"/>
      </c>
      <c r="O230" s="92">
        <f t="shared" si="235"/>
      </c>
      <c r="P230" s="92">
        <f t="shared" si="235"/>
      </c>
      <c r="Q230" s="92">
        <f t="shared" si="235"/>
      </c>
      <c r="R230" s="92">
        <f t="shared" si="235"/>
      </c>
      <c r="S230" s="92">
        <f t="shared" si="235"/>
      </c>
      <c r="T230" s="92">
        <f t="shared" si="235"/>
      </c>
      <c r="U230" s="92">
        <f>IFERROR(U229/(U220+U224), 0)</f>
      </c>
    </row>
    <row r="231" spans="3:36" x14ac:dyDescent="0.3">
      <c r="C231" s="2"/>
      <c r="D231" s="78" t="s">
        <v>633</v>
      </c>
      <c r="J231" s="92">
        <f t="shared" ref="J231:T231" si="236">IFERROR((J229-J224)/J220, 0)</f>
      </c>
      <c r="K231" s="92">
        <f t="shared" si="236"/>
      </c>
      <c r="L231" s="92">
        <f t="shared" si="236"/>
      </c>
      <c r="M231" s="92">
        <f t="shared" si="236"/>
      </c>
      <c r="N231" s="92">
        <f t="shared" si="236"/>
      </c>
      <c r="O231" s="92">
        <f t="shared" si="236"/>
      </c>
      <c r="P231" s="92">
        <f t="shared" si="236"/>
      </c>
      <c r="Q231" s="92">
        <f t="shared" si="236"/>
      </c>
      <c r="R231" s="92">
        <f t="shared" si="236"/>
      </c>
      <c r="S231" s="92">
        <f t="shared" si="236"/>
      </c>
      <c r="T231" s="92">
        <f t="shared" si="236"/>
      </c>
      <c r="U231" s="92">
        <f>IFERROR((U229-U224)/U220, 0)</f>
      </c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</row>
    <row r="232" spans="3:36" x14ac:dyDescent="0.3">
      <c r="C232" t="s">
        <v>231</v>
      </c>
      <c r="J232" s="40">
        <f>HistoricalData!R377</f>
      </c>
      <c r="K232" s="40">
        <f>HistoricalData!S377</f>
      </c>
      <c r="L232" s="40">
        <f>HistoricalData!T377</f>
      </c>
      <c r="M232" s="40">
        <f>HistoricalData!U377</f>
      </c>
      <c r="N232" s="40">
        <f>IFERROR(HLOOKUP(LEFT(N213, 4), $L$169:$U$188, ROWS($L$169:$L$188), FALSE)/4, 0)</f>
      </c>
      <c r="O232" s="40">
        <f t="shared" ref="O232:U232" si="237">IFERROR(HLOOKUP(LEFT(O213, 4), $L$169:$U$188, ROWS($L$169:$L$188), FALSE)/4, 0)</f>
      </c>
      <c r="P232" s="40">
        <f t="shared" si="237"/>
      </c>
      <c r="Q232" s="40">
        <f t="shared" si="237"/>
      </c>
      <c r="R232" s="40">
        <f t="shared" si="237"/>
      </c>
      <c r="S232" s="40">
        <f t="shared" si="237"/>
      </c>
      <c r="T232" s="40">
        <f t="shared" si="237"/>
      </c>
      <c r="U232" s="40">
        <f t="shared" si="237"/>
      </c>
    </row>
    <row r="233" spans="3:36" ht="18" x14ac:dyDescent="0.35">
      <c r="C233" s="24" t="s">
        <v>97</v>
      </c>
      <c r="J233" s="91">
        <f t="shared" ref="J233:U233" si="238">J229-J232</f>
      </c>
      <c r="K233" s="91">
        <f t="shared" si="238"/>
      </c>
      <c r="L233" s="91">
        <f t="shared" si="238"/>
      </c>
      <c r="M233" s="91">
        <f t="shared" si="238"/>
      </c>
      <c r="N233" s="91">
        <f t="shared" si="238"/>
      </c>
      <c r="O233" s="91">
        <f t="shared" si="238"/>
      </c>
      <c r="P233" s="91">
        <f t="shared" si="238"/>
      </c>
      <c r="Q233" s="91">
        <f t="shared" si="238"/>
      </c>
      <c r="R233" s="91">
        <f t="shared" si="238"/>
      </c>
      <c r="S233" s="91">
        <f t="shared" si="238"/>
      </c>
      <c r="T233" s="91">
        <f t="shared" si="238"/>
      </c>
      <c r="U233" s="91">
        <f t="shared" si="238"/>
      </c>
    </row>
    <row r="234" spans="3:36" ht="3" customHeight="1" x14ac:dyDescent="0.3"/>
    <row r="235" spans="3:36" x14ac:dyDescent="0.3">
      <c r="C235" t="s">
        <v>147</v>
      </c>
      <c r="J235" s="40">
        <f>HistoricalData!R380</f>
      </c>
      <c r="K235" s="40">
        <f>HistoricalData!S380</f>
      </c>
      <c r="L235" s="40">
        <f>HistoricalData!T380</f>
      </c>
      <c r="M235" s="40">
        <f>HistoricalData!U380</f>
      </c>
      <c r="N235" s="151">
        <f>IFERROR(HLOOKUP(LEFT(N213, 4), $L$169:$U$191, ROWS($L$169:$L$191), FALSE)/4, 0)</f>
      </c>
      <c r="O235" s="151">
        <f t="shared" ref="O235:U235" si="239">IFERROR(HLOOKUP(LEFT(O213, 4), $L$169:$U$191, ROWS($L$169:$L$191), FALSE)/4, 0)</f>
      </c>
      <c r="P235" s="151">
        <f t="shared" si="239"/>
      </c>
      <c r="Q235" s="151">
        <f t="shared" si="239"/>
      </c>
      <c r="R235" s="151">
        <f t="shared" si="239"/>
      </c>
      <c r="S235" s="151">
        <f t="shared" si="239"/>
      </c>
      <c r="T235" s="151">
        <f t="shared" si="239"/>
      </c>
      <c r="U235" s="151">
        <f t="shared" si="239"/>
      </c>
    </row>
    <row r="236" spans="3:36" ht="3" customHeight="1" x14ac:dyDescent="0.3"/>
    <row r="237" spans="3:36" x14ac:dyDescent="0.3">
      <c r="C237" t="s">
        <v>235</v>
      </c>
      <c r="J237" s="40">
        <f>HistoricalData!R382</f>
      </c>
      <c r="K237" s="40">
        <f>HistoricalData!S382</f>
      </c>
      <c r="L237" s="40">
        <f>HistoricalData!T382</f>
      </c>
      <c r="M237" s="40">
        <f>HistoricalData!U382</f>
      </c>
      <c r="N237" s="40">
        <f>IFERROR(HLOOKUP(LEFT(N213, 4), $L$417:$U$432, ROWS($L$417:$L$432), FALSE)/4, 0)</f>
      </c>
      <c r="O237" s="40">
        <f t="shared" ref="O237:U237" si="240">IFERROR(HLOOKUP(LEFT(O213, 4), $L$417:$U$432, ROWS($L$417:$L$432), FALSE)/4, 0)</f>
      </c>
      <c r="P237" s="40">
        <f t="shared" si="240"/>
      </c>
      <c r="Q237" s="40">
        <f t="shared" si="240"/>
      </c>
      <c r="R237" s="40">
        <f t="shared" si="240"/>
      </c>
      <c r="S237" s="40">
        <f t="shared" si="240"/>
      </c>
      <c r="T237" s="40">
        <f t="shared" si="240"/>
      </c>
      <c r="U237" s="40">
        <f t="shared" si="240"/>
      </c>
    </row>
    <row r="238" spans="3:36" x14ac:dyDescent="0.3">
      <c r="C238" t="s">
        <v>236</v>
      </c>
      <c r="J238" s="40">
        <f>HistoricalData!R383</f>
      </c>
      <c r="K238" s="40">
        <f>HistoricalData!S383</f>
      </c>
      <c r="L238" s="40">
        <f>HistoricalData!T383</f>
      </c>
      <c r="M238" s="40">
        <f>HistoricalData!U383</f>
      </c>
      <c r="N238" s="40">
        <f>IFERROR(HLOOKUP(LEFT(N213, 4), $L$417:$U$433, ROWS($L$417:$L$433), FALSE)/4, 0)</f>
      </c>
      <c r="O238" s="40">
        <f t="shared" ref="O238:U238" si="241">IFERROR(HLOOKUP(LEFT(O213, 4), $L$417:$U$433, ROWS($L$417:$L$433), FALSE)/4, 0)</f>
      </c>
      <c r="P238" s="40">
        <f t="shared" si="241"/>
      </c>
      <c r="Q238" s="40">
        <f t="shared" si="241"/>
      </c>
      <c r="R238" s="40">
        <f t="shared" si="241"/>
      </c>
      <c r="S238" s="40">
        <f t="shared" si="241"/>
      </c>
      <c r="T238" s="40">
        <f t="shared" si="241"/>
      </c>
      <c r="U238" s="40">
        <f t="shared" si="241"/>
      </c>
    </row>
    <row r="239" spans="3:36" ht="18" x14ac:dyDescent="0.35">
      <c r="C239" s="24" t="s">
        <v>237</v>
      </c>
      <c r="J239" s="40">
        <f t="shared" ref="J239:U239" si="242">J238+J237</f>
      </c>
      <c r="K239" s="40">
        <f t="shared" si="242"/>
      </c>
      <c r="L239" s="40">
        <f t="shared" si="242"/>
      </c>
      <c r="M239" s="40">
        <f t="shared" si="242"/>
      </c>
      <c r="N239" s="40">
        <f t="shared" si="242"/>
      </c>
      <c r="O239" s="40">
        <f t="shared" si="242"/>
      </c>
      <c r="P239" s="40">
        <f t="shared" si="242"/>
      </c>
      <c r="Q239" s="40">
        <f t="shared" si="242"/>
      </c>
      <c r="R239" s="40">
        <f t="shared" si="242"/>
      </c>
      <c r="S239" s="40">
        <f t="shared" si="242"/>
      </c>
      <c r="T239" s="40">
        <f t="shared" si="242"/>
      </c>
      <c r="U239" s="40">
        <f t="shared" si="242"/>
      </c>
    </row>
    <row r="240" spans="3:36" ht="15" thickBot="1" x14ac:dyDescent="0.35">
      <c r="D240" s="78" t="s">
        <v>86</v>
      </c>
      <c r="J240" s="92">
        <f t="shared" ref="J240:U240" si="243">IFERROR(J239/(J233+J235), 0)</f>
      </c>
      <c r="K240" s="92">
        <f t="shared" si="243"/>
      </c>
      <c r="L240" s="92">
        <f t="shared" si="243"/>
      </c>
      <c r="M240" s="92">
        <f t="shared" si="243"/>
      </c>
      <c r="N240" s="92">
        <f t="shared" si="243"/>
      </c>
      <c r="O240" s="92">
        <f t="shared" si="243"/>
      </c>
      <c r="P240" s="92">
        <f t="shared" si="243"/>
      </c>
      <c r="Q240" s="92">
        <f t="shared" si="243"/>
      </c>
      <c r="R240" s="92">
        <f t="shared" si="243"/>
      </c>
      <c r="S240" s="92">
        <f t="shared" si="243"/>
      </c>
      <c r="T240" s="92">
        <f t="shared" si="243"/>
      </c>
      <c r="U240" s="92">
        <f t="shared" si="243"/>
      </c>
    </row>
    <row r="241" spans="2:22" ht="18.600000000000001" thickBot="1" x14ac:dyDescent="0.4">
      <c r="C241" s="24" t="s">
        <v>238</v>
      </c>
      <c r="J241" s="246">
        <f t="shared" ref="J241:U241" si="244">J233+J235-J239</f>
      </c>
      <c r="K241" s="246">
        <f t="shared" si="244"/>
      </c>
      <c r="L241" s="246">
        <f t="shared" si="244"/>
      </c>
      <c r="M241" s="246">
        <f t="shared" si="244"/>
      </c>
      <c r="N241" s="246">
        <f t="shared" si="244"/>
      </c>
      <c r="O241" s="246">
        <f t="shared" si="244"/>
      </c>
      <c r="P241" s="246">
        <f t="shared" si="244"/>
      </c>
      <c r="Q241" s="246">
        <f t="shared" si="244"/>
      </c>
      <c r="R241" s="246">
        <f t="shared" si="244"/>
      </c>
      <c r="S241" s="246">
        <f t="shared" si="244"/>
      </c>
      <c r="T241" s="246">
        <f t="shared" si="244"/>
      </c>
      <c r="U241" s="246">
        <f t="shared" si="244"/>
      </c>
    </row>
    <row r="242" spans="2:22" ht="15" thickTop="1" x14ac:dyDescent="0.3">
      <c r="D242" s="78" t="s">
        <v>244</v>
      </c>
      <c r="J242" s="92">
        <f>IFERROR(J241/J220, 0)</f>
      </c>
      <c r="K242" s="92">
        <f t="shared" ref="K242" si="245">IFERROR(K241/K220, 0)</f>
      </c>
      <c r="L242" s="92">
        <f t="shared" ref="L242" si="246">IFERROR(L241/L220, 0)</f>
      </c>
      <c r="M242" s="92">
        <f t="shared" ref="M242" si="247">IFERROR(M241/M220, 0)</f>
      </c>
      <c r="N242" s="92">
        <f t="shared" ref="N242" si="248">IFERROR(N241/N220, 0)</f>
      </c>
      <c r="O242" s="92">
        <f t="shared" ref="O242" si="249">IFERROR(O241/O220, 0)</f>
      </c>
      <c r="P242" s="92">
        <f t="shared" ref="P242" si="250">IFERROR(P241/P220, 0)</f>
      </c>
      <c r="Q242" s="92">
        <f t="shared" ref="Q242" si="251">IFERROR(Q241/Q220, 0)</f>
      </c>
      <c r="R242" s="92">
        <f t="shared" ref="R242" si="252">IFERROR(R241/R220, 0)</f>
      </c>
      <c r="S242" s="92">
        <f t="shared" ref="S242" si="253">IFERROR(S241/S220, 0)</f>
      </c>
      <c r="T242" s="92">
        <f t="shared" ref="T242" si="254">IFERROR(T241/T220, 0)</f>
      </c>
      <c r="U242" s="92">
        <f t="shared" ref="U242" si="255">IFERROR(U241/U220, 0)</f>
      </c>
    </row>
    <row r="243" spans="2:22" ht="3" customHeight="1" thickBot="1" x14ac:dyDescent="0.35"/>
    <row r="244" spans="2:22" ht="18.600000000000001" thickBot="1" x14ac:dyDescent="0.4">
      <c r="C244" s="24" t="s">
        <v>239</v>
      </c>
      <c r="J244" s="246">
        <f>HistoricalData!R389</f>
      </c>
      <c r="K244" s="246">
        <f>HistoricalData!S389</f>
      </c>
      <c r="L244" s="246">
        <f>HistoricalData!T389</f>
      </c>
      <c r="M244" s="246">
        <f>HistoricalData!U389</f>
      </c>
      <c r="N244" s="246">
        <f t="shared" ref="N244:U244" si="256">N241</f>
      </c>
      <c r="O244" s="246">
        <f t="shared" si="256"/>
      </c>
      <c r="P244" s="246">
        <f t="shared" si="256"/>
      </c>
      <c r="Q244" s="246">
        <f t="shared" si="256"/>
      </c>
      <c r="R244" s="246">
        <f t="shared" si="256"/>
      </c>
      <c r="S244" s="246">
        <f t="shared" si="256"/>
      </c>
      <c r="T244" s="246">
        <f t="shared" si="256"/>
      </c>
      <c r="U244" s="246">
        <f t="shared" si="256"/>
      </c>
    </row>
    <row r="245" spans="2:22" ht="15" thickTop="1" x14ac:dyDescent="0.3"/>
    <row r="246" spans="2:22" x14ac:dyDescent="0.3">
      <c r="C246" s="2" t="s">
        <v>240</v>
      </c>
      <c r="H246" s="77" t="str">
        <f>$H$202</f>
      </c>
      <c r="J246" s="40">
        <f>HistoricalData!R391</f>
      </c>
      <c r="K246" s="40">
        <f>HistoricalData!S391</f>
      </c>
      <c r="L246" s="40">
        <f>HistoricalData!T391</f>
      </c>
      <c r="M246" s="40">
        <f>HistoricalData!U391</f>
      </c>
      <c r="N246" s="151">
        <f>'Assumptions&amp;Scenario'!U42</f>
      </c>
      <c r="O246" s="40">
        <f>N246</f>
      </c>
      <c r="P246" s="40">
        <f t="shared" ref="P246:U246" si="257">O246</f>
      </c>
      <c r="Q246" s="40">
        <f t="shared" si="257"/>
      </c>
      <c r="R246" s="40">
        <f t="shared" si="257"/>
      </c>
      <c r="S246" s="40">
        <f t="shared" si="257"/>
      </c>
      <c r="T246" s="40">
        <f t="shared" si="257"/>
      </c>
      <c r="U246" s="40">
        <f t="shared" si="257"/>
      </c>
    </row>
    <row r="247" spans="2:22" x14ac:dyDescent="0.3">
      <c r="C247" s="2" t="s">
        <v>368</v>
      </c>
      <c r="H247" s="77" t="str">
        <f>$H$203</f>
      </c>
      <c r="J247" s="40">
        <f>HistoricalData!R392</f>
      </c>
      <c r="K247" s="40">
        <f>HistoricalData!S392</f>
      </c>
      <c r="L247" s="40">
        <f>HistoricalData!T392</f>
      </c>
      <c r="M247" s="40">
        <f>HistoricalData!U392</f>
      </c>
      <c r="N247" s="40">
        <f t="shared" ref="N247" si="258">IFERROR(N244/N246, 0)</f>
      </c>
      <c r="O247" s="40">
        <f t="shared" ref="O247" si="259">IFERROR(O244/O246, 0)</f>
      </c>
      <c r="P247" s="40">
        <f t="shared" ref="P247" si="260">IFERROR(P244/P246, 0)</f>
      </c>
      <c r="Q247" s="40">
        <f t="shared" ref="Q247" si="261">IFERROR(Q244/Q246, 0)</f>
      </c>
      <c r="R247" s="40">
        <f t="shared" ref="R247" si="262">IFERROR(R244/R246, 0)</f>
      </c>
      <c r="S247" s="40">
        <f t="shared" ref="S247" si="263">IFERROR(S244/S246, 0)</f>
      </c>
      <c r="T247" s="40">
        <f t="shared" ref="T247" si="264">IFERROR(T244/T246, 0)</f>
      </c>
      <c r="U247" s="40">
        <f t="shared" ref="U247" si="265">IFERROR(U244/U246, 0)</f>
      </c>
    </row>
    <row r="248" spans="2:22" x14ac:dyDescent="0.3">
      <c r="C248" s="2" t="s">
        <v>243</v>
      </c>
      <c r="H248" s="77" t="str">
        <f>$H$203</f>
      </c>
      <c r="J248" s="40">
        <f>HistoricalData!R393</f>
      </c>
      <c r="K248" s="40">
        <f>HistoricalData!S393</f>
      </c>
      <c r="L248" s="40">
        <f>HistoricalData!T393</f>
      </c>
      <c r="M248" s="40">
        <f>HistoricalData!U393</f>
      </c>
      <c r="N248" s="40">
        <f>IFERROR(IF(K247&lt;&gt;"", SUM(K247:N247), 0), 0)</f>
      </c>
      <c r="O248" s="40">
        <f t="shared" ref="O248:U248" si="266">IFERROR(IF(L247&lt;&gt;"", SUM(L247:O247), 0), 0)</f>
      </c>
      <c r="P248" s="40">
        <f t="shared" si="266"/>
      </c>
      <c r="Q248" s="40">
        <f t="shared" si="266"/>
      </c>
      <c r="R248" s="40">
        <f t="shared" si="266"/>
      </c>
      <c r="S248" s="40">
        <f t="shared" si="266"/>
      </c>
      <c r="T248" s="40">
        <f t="shared" si="266"/>
      </c>
      <c r="U248" s="40">
        <f t="shared" si="266"/>
      </c>
    </row>
    <row r="249" spans="2:22" x14ac:dyDescent="0.3">
      <c r="C249" s="2" t="s">
        <v>116</v>
      </c>
      <c r="H249" s="77" t="str">
        <f>$H$203</f>
      </c>
      <c r="J249" s="40">
        <f>HistoricalData!R394</f>
      </c>
      <c r="K249" s="40">
        <f>HistoricalData!S394</f>
      </c>
      <c r="L249" s="40">
        <f>HistoricalData!T394</f>
      </c>
      <c r="M249" s="40">
        <f>HistoricalData!U394</f>
      </c>
      <c r="N249" s="40"/>
      <c r="O249" s="40"/>
      <c r="P249" s="40"/>
      <c r="Q249" s="40"/>
      <c r="R249" s="40"/>
      <c r="S249" s="40"/>
      <c r="T249" s="40"/>
      <c r="U249" s="40"/>
    </row>
    <row r="250" spans="2:22" x14ac:dyDescent="0.3">
      <c r="C250" s="2" t="s">
        <v>241</v>
      </c>
      <c r="H250" s="77" t="str">
        <f>$H$23</f>
      </c>
      <c r="J250" s="40">
        <f>HistoricalData!R395</f>
      </c>
      <c r="K250" s="40">
        <f>HistoricalData!S395</f>
      </c>
      <c r="L250" s="40">
        <f>HistoricalData!T395</f>
      </c>
      <c r="M250" s="40">
        <f>HistoricalData!U395</f>
      </c>
      <c r="N250" s="40"/>
      <c r="O250" s="40"/>
      <c r="P250" s="40"/>
      <c r="Q250" s="40"/>
      <c r="R250" s="40"/>
      <c r="S250" s="40"/>
      <c r="T250" s="40"/>
      <c r="U250" s="40"/>
    </row>
    <row r="251" spans="2:22" x14ac:dyDescent="0.3">
      <c r="C251" s="2" t="s">
        <v>242</v>
      </c>
      <c r="J251" s="40">
        <f>HistoricalData!R396</f>
      </c>
      <c r="K251" s="40">
        <f>HistoricalData!S396</f>
      </c>
      <c r="L251" s="40">
        <f>HistoricalData!T396</f>
      </c>
      <c r="M251" s="40">
        <f>HistoricalData!U396</f>
      </c>
      <c r="N251" s="40"/>
      <c r="O251" s="40"/>
      <c r="P251" s="40"/>
      <c r="Q251" s="40"/>
      <c r="R251" s="40"/>
      <c r="S251" s="40"/>
      <c r="T251" s="40"/>
      <c r="U251" s="40"/>
    </row>
    <row r="254" spans="2:22" x14ac:dyDescent="0.3">
      <c r="U254" s="227" t="str">
        <f>$U$2</f>
      </c>
    </row>
    <row r="255" spans="2:22" ht="18" x14ac:dyDescent="0.35">
      <c r="B255" s="148" t="str">
        <f>'Assumptions&amp;Scenario'!$K$10</f>
      </c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</row>
    <row r="256" spans="2:22" ht="18" thickBot="1" x14ac:dyDescent="0.35">
      <c r="B256" s="47" t="s">
        <v>411</v>
      </c>
      <c r="C256" s="48"/>
      <c r="D256" s="48"/>
      <c r="E256" s="48"/>
      <c r="F256" s="48"/>
      <c r="G256" s="48"/>
      <c r="H256" s="49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</row>
    <row r="257" spans="3:21" ht="15" thickBot="1" x14ac:dyDescent="0.35">
      <c r="C257" s="2"/>
      <c r="D257" s="2"/>
      <c r="E257" s="2"/>
      <c r="F257" s="2"/>
      <c r="L257" s="42" t="s">
        <v>141</v>
      </c>
      <c r="M257" s="42"/>
      <c r="N257" s="42"/>
      <c r="O257" s="42"/>
      <c r="P257" s="42"/>
      <c r="Q257" s="42"/>
      <c r="R257" s="42"/>
      <c r="S257" s="42"/>
      <c r="T257" s="42"/>
      <c r="U257" s="42"/>
    </row>
    <row r="258" spans="3:21" ht="16.2" thickTop="1" x14ac:dyDescent="0.3">
      <c r="C258" s="43" t="s">
        <v>389</v>
      </c>
      <c r="D258" s="43"/>
      <c r="E258" s="43"/>
      <c r="F258" s="43"/>
      <c r="G258" s="43"/>
      <c r="H258" s="44"/>
      <c r="I258" s="44"/>
      <c r="J258" s="44" t="str">
        <f>"FY"&amp;TEXT(RIGHT(K258,2)-(COLUMN(K258)-COLUMN()),"00")</f>
      </c>
      <c r="K258" s="44" t="str">
        <f>"FY"&amp;TEXT(DATE(YEAR('Data Sheet'!$K$16)+(MONTH('Data Sheet'!$K$16)&gt;3),1,1),"YY")</f>
      </c>
      <c r="L258" s="44" t="str">
        <f t="shared" ref="L258" si="267">"FY"&amp;TEXT(RIGHT(K258,2)+COLUMN()-COLUMN(K258),"00")</f>
      </c>
      <c r="M258" s="44" t="str">
        <f t="shared" ref="M258" si="268">"FY"&amp;TEXT(RIGHT(L258,2)+COLUMN()-COLUMN(L258),"00")</f>
      </c>
      <c r="N258" s="44" t="str">
        <f t="shared" ref="N258" si="269">"FY"&amp;TEXT(RIGHT(M258,2)+COLUMN()-COLUMN(M258),"00")</f>
      </c>
      <c r="O258" s="44" t="str">
        <f t="shared" ref="O258" si="270">"FY"&amp;TEXT(RIGHT(N258,2)+COLUMN()-COLUMN(N258),"00")</f>
      </c>
      <c r="P258" s="44" t="str">
        <f t="shared" ref="P258" si="271">"FY"&amp;TEXT(RIGHT(O258,2)+COLUMN()-COLUMN(O258),"00")</f>
      </c>
      <c r="Q258" s="44" t="str">
        <f t="shared" ref="Q258" si="272">"FY"&amp;TEXT(RIGHT(P258,2)+COLUMN()-COLUMN(P258),"00")</f>
      </c>
      <c r="R258" s="44" t="str">
        <f t="shared" ref="R258" si="273">"FY"&amp;TEXT(RIGHT(Q258,2)+COLUMN()-COLUMN(Q258),"00")</f>
      </c>
      <c r="S258" s="44" t="str">
        <f t="shared" ref="S258" si="274">"FY"&amp;TEXT(RIGHT(R258,2)+COLUMN()-COLUMN(R258),"00")</f>
      </c>
      <c r="T258" s="44" t="str">
        <f t="shared" ref="T258" si="275">"FY"&amp;TEXT(RIGHT(S258,2)+COLUMN()-COLUMN(S258),"00")</f>
      </c>
      <c r="U258" s="44" t="str">
        <f t="shared" ref="U258" si="276">"FY"&amp;TEXT(RIGHT(T258,2)+COLUMN()-COLUMN(T258),"00")</f>
      </c>
    </row>
    <row r="259" spans="3:21" ht="3" customHeight="1" x14ac:dyDescent="0.3"/>
    <row r="260" spans="3:21" ht="3" customHeight="1" x14ac:dyDescent="0.3"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3:21" ht="3" customHeight="1" x14ac:dyDescent="0.3"/>
    <row r="262" spans="3:21" ht="18" x14ac:dyDescent="0.35">
      <c r="C262" s="24" t="s">
        <v>246</v>
      </c>
      <c r="H262" s="77" t="str">
        <f>$H$23</f>
      </c>
    </row>
    <row r="263" spans="3:21" x14ac:dyDescent="0.3">
      <c r="D263" t="s">
        <v>238</v>
      </c>
      <c r="J263" s="40">
        <f>HistoricalData!T409</f>
      </c>
      <c r="K263" s="40">
        <f>HistoricalData!U409</f>
      </c>
      <c r="L263" s="40">
        <f>L197</f>
      </c>
      <c r="M263" s="40">
        <f t="shared" ref="M263:U263" si="277">M197</f>
      </c>
      <c r="N263" s="40">
        <f t="shared" si="277"/>
      </c>
      <c r="O263" s="40">
        <f t="shared" si="277"/>
      </c>
      <c r="P263" s="40">
        <f t="shared" si="277"/>
      </c>
      <c r="Q263" s="40">
        <f t="shared" si="277"/>
      </c>
      <c r="R263" s="40">
        <f t="shared" si="277"/>
      </c>
      <c r="S263" s="40">
        <f t="shared" si="277"/>
      </c>
      <c r="T263" s="40">
        <f t="shared" si="277"/>
      </c>
      <c r="U263" s="40">
        <f t="shared" si="277"/>
      </c>
    </row>
    <row r="264" spans="3:21" x14ac:dyDescent="0.3">
      <c r="D264" t="s">
        <v>247</v>
      </c>
      <c r="J264" s="40">
        <f>HistoricalData!T410</f>
      </c>
      <c r="K264" s="40">
        <f>HistoricalData!U410</f>
      </c>
      <c r="L264" s="40">
        <f>L184</f>
      </c>
      <c r="M264" s="40">
        <f t="shared" ref="M264:U264" si="278">M184</f>
      </c>
      <c r="N264" s="40">
        <f t="shared" si="278"/>
      </c>
      <c r="O264" s="40">
        <f t="shared" si="278"/>
      </c>
      <c r="P264" s="40">
        <f t="shared" si="278"/>
      </c>
      <c r="Q264" s="40">
        <f t="shared" si="278"/>
      </c>
      <c r="R264" s="40">
        <f t="shared" si="278"/>
      </c>
      <c r="S264" s="40">
        <f t="shared" si="278"/>
      </c>
      <c r="T264" s="40">
        <f t="shared" si="278"/>
      </c>
      <c r="U264" s="40">
        <f t="shared" si="278"/>
      </c>
    </row>
    <row r="265" spans="3:21" x14ac:dyDescent="0.3">
      <c r="D265" t="s">
        <v>248</v>
      </c>
      <c r="J265" s="40">
        <f>HistoricalData!T411</f>
      </c>
      <c r="K265" s="40">
        <f>HistoricalData!U411</f>
      </c>
      <c r="L265" s="40">
        <f>L194</f>
      </c>
      <c r="M265" s="40">
        <f t="shared" ref="M265:U265" si="279">M194</f>
      </c>
      <c r="N265" s="40">
        <f t="shared" si="279"/>
      </c>
      <c r="O265" s="40">
        <f t="shared" si="279"/>
      </c>
      <c r="P265" s="40">
        <f t="shared" si="279"/>
      </c>
      <c r="Q265" s="40">
        <f t="shared" si="279"/>
      </c>
      <c r="R265" s="40">
        <f t="shared" si="279"/>
      </c>
      <c r="S265" s="40">
        <f t="shared" si="279"/>
      </c>
      <c r="T265" s="40">
        <f t="shared" si="279"/>
      </c>
      <c r="U265" s="40">
        <f t="shared" si="279"/>
      </c>
    </row>
    <row r="266" spans="3:21" x14ac:dyDescent="0.3">
      <c r="D266" t="s">
        <v>249</v>
      </c>
      <c r="J266" s="40">
        <f>HistoricalData!T412</f>
      </c>
      <c r="K266" s="40">
        <f>HistoricalData!U412</f>
      </c>
      <c r="L266" s="40">
        <f>L188</f>
      </c>
      <c r="M266" s="40">
        <f t="shared" ref="M266:U266" si="280">M188</f>
      </c>
      <c r="N266" s="40">
        <f t="shared" si="280"/>
      </c>
      <c r="O266" s="40">
        <f t="shared" si="280"/>
      </c>
      <c r="P266" s="40">
        <f t="shared" si="280"/>
      </c>
      <c r="Q266" s="40">
        <f t="shared" si="280"/>
      </c>
      <c r="R266" s="40">
        <f t="shared" si="280"/>
      </c>
      <c r="S266" s="40">
        <f t="shared" si="280"/>
      </c>
      <c r="T266" s="40">
        <f t="shared" si="280"/>
      </c>
      <c r="U266" s="40">
        <f t="shared" si="280"/>
      </c>
    </row>
    <row r="267" spans="3:21" x14ac:dyDescent="0.3">
      <c r="D267" t="s">
        <v>250</v>
      </c>
      <c r="J267" s="40">
        <f>HistoricalData!T413</f>
      </c>
      <c r="K267" s="40">
        <f>HistoricalData!U413</f>
      </c>
      <c r="L267" s="40"/>
      <c r="M267" s="40"/>
      <c r="N267" s="40"/>
      <c r="O267" s="40"/>
      <c r="P267" s="40"/>
      <c r="Q267" s="40"/>
      <c r="R267" s="40"/>
      <c r="S267" s="40"/>
      <c r="T267" s="40"/>
      <c r="U267" s="40"/>
    </row>
    <row r="268" spans="3:21" x14ac:dyDescent="0.3">
      <c r="D268" t="s">
        <v>251</v>
      </c>
      <c r="J268" s="40">
        <f>HistoricalData!T414</f>
      </c>
      <c r="K268" s="40">
        <f>HistoricalData!U414</f>
      </c>
      <c r="L268" s="40"/>
      <c r="M268" s="40"/>
      <c r="N268" s="40"/>
      <c r="O268" s="40"/>
      <c r="P268" s="40"/>
      <c r="Q268" s="40"/>
      <c r="R268" s="40"/>
      <c r="S268" s="40"/>
      <c r="T268" s="40"/>
      <c r="U268" s="40"/>
    </row>
    <row r="269" spans="3:21" x14ac:dyDescent="0.3">
      <c r="D269" t="s">
        <v>252</v>
      </c>
      <c r="J269" s="40">
        <f>HistoricalData!T415</f>
      </c>
      <c r="K269" s="40">
        <f>HistoricalData!U415</f>
      </c>
      <c r="L269" s="40"/>
      <c r="M269" s="40"/>
      <c r="N269" s="40"/>
      <c r="O269" s="40"/>
      <c r="P269" s="40"/>
      <c r="Q269" s="40"/>
      <c r="R269" s="40"/>
      <c r="S269" s="40"/>
      <c r="T269" s="40"/>
      <c r="U269" s="40"/>
    </row>
    <row r="270" spans="3:21" x14ac:dyDescent="0.3">
      <c r="D270" t="s">
        <v>253</v>
      </c>
      <c r="J270" s="40">
        <f>HistoricalData!T416</f>
      </c>
      <c r="K270" s="40">
        <f>HistoricalData!U416</f>
      </c>
      <c r="L270" s="40">
        <f>L469</f>
      </c>
      <c r="M270" s="40">
        <f t="shared" ref="M270:U270" si="281">M469</f>
      </c>
      <c r="N270" s="40">
        <f t="shared" si="281"/>
      </c>
      <c r="O270" s="40">
        <f t="shared" si="281"/>
      </c>
      <c r="P270" s="40">
        <f t="shared" si="281"/>
      </c>
      <c r="Q270" s="40">
        <f t="shared" si="281"/>
      </c>
      <c r="R270" s="40">
        <f t="shared" si="281"/>
      </c>
      <c r="S270" s="40">
        <f t="shared" si="281"/>
      </c>
      <c r="T270" s="40">
        <f t="shared" si="281"/>
      </c>
      <c r="U270" s="40">
        <f t="shared" si="281"/>
      </c>
    </row>
    <row r="271" spans="3:21" x14ac:dyDescent="0.3">
      <c r="D271" s="2" t="s">
        <v>254</v>
      </c>
      <c r="J271" s="103">
        <f>HistoricalData!T417</f>
      </c>
      <c r="K271" s="103">
        <f>HistoricalData!U417</f>
      </c>
      <c r="L271" s="103">
        <f>SUM(L263:L270)</f>
      </c>
      <c r="M271" s="103">
        <f t="shared" ref="M271:U271" si="282">SUM(M263:M270)</f>
      </c>
      <c r="N271" s="103">
        <f t="shared" si="282"/>
      </c>
      <c r="O271" s="103">
        <f t="shared" si="282"/>
      </c>
      <c r="P271" s="103">
        <f t="shared" si="282"/>
      </c>
      <c r="Q271" s="103">
        <f t="shared" si="282"/>
      </c>
      <c r="R271" s="103">
        <f t="shared" si="282"/>
      </c>
      <c r="S271" s="103">
        <f t="shared" si="282"/>
      </c>
      <c r="T271" s="103">
        <f t="shared" si="282"/>
      </c>
      <c r="U271" s="103">
        <f t="shared" si="282"/>
      </c>
    </row>
    <row r="274" spans="3:21" ht="18" x14ac:dyDescent="0.35">
      <c r="C274" s="24" t="s">
        <v>255</v>
      </c>
    </row>
    <row r="275" spans="3:21" x14ac:dyDescent="0.3">
      <c r="D275" t="s">
        <v>256</v>
      </c>
      <c r="J275" s="40">
        <f>HistoricalData!T421</f>
      </c>
      <c r="K275" s="40">
        <f>HistoricalData!U421</f>
      </c>
      <c r="L275" s="151">
        <f>-'Assumptions&amp;Scenario'!L62</f>
      </c>
      <c r="M275" s="151">
        <f>-'Assumptions&amp;Scenario'!M62</f>
      </c>
      <c r="N275" s="151">
        <f>-'Assumptions&amp;Scenario'!N62</f>
      </c>
      <c r="O275" s="151">
        <f>-'Assumptions&amp;Scenario'!O62</f>
      </c>
      <c r="P275" s="151">
        <f>-'Assumptions&amp;Scenario'!P62</f>
      </c>
      <c r="Q275" s="151">
        <f>-'Assumptions&amp;Scenario'!Q62</f>
      </c>
      <c r="R275" s="151">
        <f>-'Assumptions&amp;Scenario'!R62</f>
      </c>
      <c r="S275" s="151">
        <f>-'Assumptions&amp;Scenario'!S62</f>
      </c>
      <c r="T275" s="151">
        <f>-'Assumptions&amp;Scenario'!T62</f>
      </c>
      <c r="U275" s="151">
        <f>-'Assumptions&amp;Scenario'!U62</f>
      </c>
    </row>
    <row r="276" spans="3:21" x14ac:dyDescent="0.3">
      <c r="D276" t="s">
        <v>250</v>
      </c>
      <c r="J276" s="40">
        <f>HistoricalData!T422</f>
      </c>
      <c r="K276" s="40">
        <f>HistoricalData!U422</f>
      </c>
      <c r="L276" s="71"/>
      <c r="M276" s="71"/>
      <c r="N276" s="71"/>
      <c r="O276" s="71"/>
      <c r="P276" s="71"/>
      <c r="Q276" s="71"/>
      <c r="R276" s="71"/>
      <c r="S276" s="71"/>
      <c r="T276" s="71"/>
      <c r="U276" s="71"/>
    </row>
    <row r="277" spans="3:21" x14ac:dyDescent="0.3">
      <c r="D277" t="s">
        <v>257</v>
      </c>
      <c r="J277" s="40">
        <f>HistoricalData!T423</f>
      </c>
      <c r="K277" s="40">
        <f>HistoricalData!U423</f>
      </c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</row>
    <row r="278" spans="3:21" x14ac:dyDescent="0.3">
      <c r="D278" t="s">
        <v>111</v>
      </c>
      <c r="J278" s="40">
        <f>HistoricalData!T424</f>
      </c>
      <c r="K278" s="40">
        <f>HistoricalData!U424</f>
      </c>
      <c r="L278" s="151">
        <f>'Assumptions&amp;Scenario'!L60</f>
      </c>
      <c r="M278" s="151">
        <f>'Assumptions&amp;Scenario'!M60</f>
      </c>
      <c r="N278" s="151">
        <f>'Assumptions&amp;Scenario'!N60</f>
      </c>
      <c r="O278" s="151">
        <f>'Assumptions&amp;Scenario'!O60</f>
      </c>
      <c r="P278" s="151">
        <f>'Assumptions&amp;Scenario'!P60</f>
      </c>
      <c r="Q278" s="151">
        <f>'Assumptions&amp;Scenario'!Q60</f>
      </c>
      <c r="R278" s="151">
        <f>'Assumptions&amp;Scenario'!R60</f>
      </c>
      <c r="S278" s="151">
        <f>'Assumptions&amp;Scenario'!S60</f>
      </c>
      <c r="T278" s="151">
        <f>'Assumptions&amp;Scenario'!T60</f>
      </c>
      <c r="U278" s="151">
        <f>'Assumptions&amp;Scenario'!U60</f>
      </c>
    </row>
    <row r="279" spans="3:21" x14ac:dyDescent="0.3">
      <c r="D279" s="2" t="s">
        <v>258</v>
      </c>
      <c r="J279" s="94">
        <f>HistoricalData!T425</f>
      </c>
      <c r="K279" s="94">
        <f>HistoricalData!U425</f>
      </c>
      <c r="L279" s="94">
        <f t="shared" ref="L279:U279" si="283">SUM(L275:L278)</f>
      </c>
      <c r="M279" s="94">
        <f t="shared" si="283"/>
      </c>
      <c r="N279" s="94">
        <f t="shared" si="283"/>
      </c>
      <c r="O279" s="94">
        <f t="shared" si="283"/>
      </c>
      <c r="P279" s="94">
        <f t="shared" si="283"/>
      </c>
      <c r="Q279" s="94">
        <f t="shared" si="283"/>
      </c>
      <c r="R279" s="94">
        <f t="shared" si="283"/>
      </c>
      <c r="S279" s="94">
        <f t="shared" si="283"/>
      </c>
      <c r="T279" s="94">
        <f t="shared" si="283"/>
      </c>
      <c r="U279" s="94">
        <f t="shared" si="283"/>
      </c>
    </row>
    <row r="282" spans="3:21" ht="18" x14ac:dyDescent="0.35">
      <c r="C282" s="24" t="s">
        <v>259</v>
      </c>
    </row>
    <row r="283" spans="3:21" x14ac:dyDescent="0.3">
      <c r="D283" t="s">
        <v>260</v>
      </c>
      <c r="J283" s="40">
        <f>HistoricalData!T429</f>
      </c>
      <c r="K283" s="40">
        <f>HistoricalData!U429</f>
      </c>
      <c r="L283" s="40">
        <f>L504</f>
      </c>
      <c r="M283" s="40">
        <f t="shared" ref="M283:U283" si="284">M504</f>
      </c>
      <c r="N283" s="40">
        <f t="shared" si="284"/>
      </c>
      <c r="O283" s="40">
        <f t="shared" si="284"/>
      </c>
      <c r="P283" s="40">
        <f t="shared" si="284"/>
      </c>
      <c r="Q283" s="40">
        <f t="shared" si="284"/>
      </c>
      <c r="R283" s="40">
        <f t="shared" si="284"/>
      </c>
      <c r="S283" s="40">
        <f t="shared" si="284"/>
      </c>
      <c r="T283" s="40">
        <f t="shared" si="284"/>
      </c>
      <c r="U283" s="40">
        <f t="shared" si="284"/>
      </c>
    </row>
    <row r="284" spans="3:21" x14ac:dyDescent="0.3">
      <c r="D284" t="s">
        <v>261</v>
      </c>
      <c r="J284" s="40">
        <f>HistoricalData!T430</f>
      </c>
      <c r="K284" s="40">
        <f>HistoricalData!U430</f>
      </c>
      <c r="L284" s="40">
        <f>L512</f>
      </c>
      <c r="M284" s="40">
        <f t="shared" ref="M284:U284" si="285">M512</f>
      </c>
      <c r="N284" s="40">
        <f t="shared" si="285"/>
      </c>
      <c r="O284" s="40">
        <f t="shared" si="285"/>
      </c>
      <c r="P284" s="40">
        <f t="shared" si="285"/>
      </c>
      <c r="Q284" s="40">
        <f t="shared" si="285"/>
      </c>
      <c r="R284" s="40">
        <f t="shared" si="285"/>
      </c>
      <c r="S284" s="40">
        <f t="shared" si="285"/>
      </c>
      <c r="T284" s="40">
        <f t="shared" si="285"/>
      </c>
      <c r="U284" s="40">
        <f t="shared" si="285"/>
      </c>
    </row>
    <row r="285" spans="3:21" x14ac:dyDescent="0.3">
      <c r="D285" t="s">
        <v>249</v>
      </c>
      <c r="J285" s="40">
        <f>HistoricalData!T431</f>
      </c>
      <c r="K285" s="40">
        <f>HistoricalData!U431</f>
      </c>
      <c r="L285" s="40">
        <f>-L266</f>
      </c>
      <c r="M285" s="40">
        <f t="shared" ref="M285:U285" si="286">-M266</f>
      </c>
      <c r="N285" s="40">
        <f t="shared" si="286"/>
      </c>
      <c r="O285" s="40">
        <f t="shared" si="286"/>
      </c>
      <c r="P285" s="40">
        <f t="shared" si="286"/>
      </c>
      <c r="Q285" s="40">
        <f t="shared" si="286"/>
      </c>
      <c r="R285" s="40">
        <f t="shared" si="286"/>
      </c>
      <c r="S285" s="40">
        <f t="shared" si="286"/>
      </c>
      <c r="T285" s="40">
        <f t="shared" si="286"/>
      </c>
      <c r="U285" s="40">
        <f t="shared" si="286"/>
      </c>
    </row>
    <row r="286" spans="3:21" x14ac:dyDescent="0.3">
      <c r="D286" t="s">
        <v>262</v>
      </c>
      <c r="J286" s="40">
        <f>HistoricalData!T432</f>
      </c>
      <c r="K286" s="40">
        <f>HistoricalData!U432</f>
      </c>
      <c r="L286" s="40">
        <f>L531</f>
      </c>
      <c r="M286" s="40">
        <f t="shared" ref="M286:U286" si="287">M531</f>
      </c>
      <c r="N286" s="40">
        <f t="shared" si="287"/>
      </c>
      <c r="O286" s="40">
        <f t="shared" si="287"/>
      </c>
      <c r="P286" s="40">
        <f t="shared" si="287"/>
      </c>
      <c r="Q286" s="40">
        <f t="shared" si="287"/>
      </c>
      <c r="R286" s="40">
        <f t="shared" si="287"/>
      </c>
      <c r="S286" s="40">
        <f t="shared" si="287"/>
      </c>
      <c r="T286" s="40">
        <f t="shared" si="287"/>
      </c>
      <c r="U286" s="40">
        <f t="shared" si="287"/>
      </c>
    </row>
    <row r="287" spans="3:21" x14ac:dyDescent="0.3">
      <c r="D287" t="s">
        <v>263</v>
      </c>
      <c r="J287" s="40">
        <f>HistoricalData!T433</f>
      </c>
      <c r="K287" s="40">
        <f>HistoricalData!U433</f>
      </c>
      <c r="L287" s="40">
        <f>L544</f>
      </c>
      <c r="M287" s="40">
        <f t="shared" ref="M287:U287" si="288">M544</f>
      </c>
      <c r="N287" s="40">
        <f t="shared" si="288"/>
      </c>
      <c r="O287" s="40">
        <f t="shared" si="288"/>
      </c>
      <c r="P287" s="40">
        <f t="shared" si="288"/>
      </c>
      <c r="Q287" s="40">
        <f t="shared" si="288"/>
      </c>
      <c r="R287" s="40">
        <f t="shared" si="288"/>
      </c>
      <c r="S287" s="40">
        <f t="shared" si="288"/>
      </c>
      <c r="T287" s="40">
        <f t="shared" si="288"/>
      </c>
      <c r="U287" s="40">
        <f t="shared" si="288"/>
      </c>
    </row>
    <row r="288" spans="3:21" x14ac:dyDescent="0.3">
      <c r="D288" s="2" t="s">
        <v>264</v>
      </c>
      <c r="J288" s="103">
        <f>HistoricalData!T434</f>
      </c>
      <c r="K288" s="103">
        <f>HistoricalData!U434</f>
      </c>
      <c r="L288" s="103">
        <f t="shared" ref="L288:U288" si="289">SUM(L283:L287)</f>
      </c>
      <c r="M288" s="103">
        <f t="shared" si="289"/>
      </c>
      <c r="N288" s="103">
        <f t="shared" si="289"/>
      </c>
      <c r="O288" s="103">
        <f t="shared" si="289"/>
      </c>
      <c r="P288" s="103">
        <f t="shared" si="289"/>
      </c>
      <c r="Q288" s="103">
        <f t="shared" si="289"/>
      </c>
      <c r="R288" s="103">
        <f t="shared" si="289"/>
      </c>
      <c r="S288" s="103">
        <f t="shared" si="289"/>
      </c>
      <c r="T288" s="103">
        <f t="shared" si="289"/>
      </c>
      <c r="U288" s="103">
        <f t="shared" si="289"/>
      </c>
    </row>
    <row r="291" spans="2:22" x14ac:dyDescent="0.3">
      <c r="C291" s="121" t="s">
        <v>265</v>
      </c>
      <c r="D291" s="113"/>
      <c r="E291" s="113"/>
      <c r="F291" s="113"/>
      <c r="G291" s="113"/>
      <c r="H291" s="113"/>
      <c r="I291" s="113"/>
      <c r="J291" s="126">
        <f>HistoricalData!T437</f>
      </c>
      <c r="K291" s="126">
        <f>HistoricalData!U437</f>
      </c>
      <c r="L291" s="126">
        <f>L288+L279+L271</f>
      </c>
      <c r="M291" s="126">
        <f t="shared" ref="M291:U291" si="290">M288+M279+M271</f>
      </c>
      <c r="N291" s="126">
        <f t="shared" si="290"/>
      </c>
      <c r="O291" s="126">
        <f t="shared" si="290"/>
      </c>
      <c r="P291" s="126">
        <f t="shared" si="290"/>
      </c>
      <c r="Q291" s="126">
        <f t="shared" si="290"/>
      </c>
      <c r="R291" s="126">
        <f t="shared" si="290"/>
      </c>
      <c r="S291" s="126">
        <f t="shared" si="290"/>
      </c>
      <c r="T291" s="126">
        <f t="shared" si="290"/>
      </c>
      <c r="U291" s="170">
        <f t="shared" si="290"/>
      </c>
    </row>
    <row r="292" spans="2:22" x14ac:dyDescent="0.3">
      <c r="C292" s="137" t="s">
        <v>266</v>
      </c>
      <c r="J292" s="40">
        <f>HistoricalData!T438</f>
      </c>
      <c r="K292" s="40">
        <f>HistoricalData!U438</f>
      </c>
      <c r="L292" s="71">
        <f t="shared" ref="L292:U292" si="291">K294</f>
      </c>
      <c r="M292" s="71">
        <f t="shared" si="291"/>
      </c>
      <c r="N292" s="71">
        <f t="shared" si="291"/>
      </c>
      <c r="O292" s="71">
        <f t="shared" si="291"/>
      </c>
      <c r="P292" s="71">
        <f t="shared" si="291"/>
      </c>
      <c r="Q292" s="71">
        <f t="shared" si="291"/>
      </c>
      <c r="R292" s="71">
        <f t="shared" si="291"/>
      </c>
      <c r="S292" s="71">
        <f t="shared" si="291"/>
      </c>
      <c r="T292" s="71">
        <f t="shared" si="291"/>
      </c>
      <c r="U292" s="143">
        <f t="shared" si="291"/>
      </c>
    </row>
    <row r="293" spans="2:22" x14ac:dyDescent="0.3">
      <c r="C293" s="137" t="s">
        <v>267</v>
      </c>
      <c r="J293" s="40">
        <f>HistoricalData!T439</f>
      </c>
      <c r="K293" s="40">
        <f>HistoricalData!U439</f>
      </c>
      <c r="U293" s="143"/>
    </row>
    <row r="294" spans="2:22" x14ac:dyDescent="0.3">
      <c r="C294" s="122" t="s">
        <v>268</v>
      </c>
      <c r="D294" s="120"/>
      <c r="E294" s="120"/>
      <c r="F294" s="120"/>
      <c r="G294" s="120"/>
      <c r="H294" s="120"/>
      <c r="I294" s="120"/>
      <c r="J294" s="171">
        <f>HistoricalData!T440</f>
      </c>
      <c r="K294" s="171">
        <f>HistoricalData!U440</f>
      </c>
      <c r="L294" s="171">
        <f t="shared" ref="L294:U294" si="292">L292+L293+L291</f>
      </c>
      <c r="M294" s="171">
        <f t="shared" si="292"/>
      </c>
      <c r="N294" s="171">
        <f t="shared" si="292"/>
      </c>
      <c r="O294" s="171">
        <f t="shared" si="292"/>
      </c>
      <c r="P294" s="171">
        <f t="shared" si="292"/>
      </c>
      <c r="Q294" s="171">
        <f t="shared" si="292"/>
      </c>
      <c r="R294" s="171">
        <f t="shared" si="292"/>
      </c>
      <c r="S294" s="171">
        <f t="shared" si="292"/>
      </c>
      <c r="T294" s="171">
        <f t="shared" si="292"/>
      </c>
      <c r="U294" s="172">
        <f t="shared" si="292"/>
      </c>
    </row>
    <row r="297" spans="2:22" x14ac:dyDescent="0.3">
      <c r="U297" s="227" t="str">
        <f>$U$2</f>
      </c>
    </row>
    <row r="298" spans="2:22" ht="18" x14ac:dyDescent="0.35">
      <c r="B298" s="148" t="str">
        <f>'Assumptions&amp;Scenario'!$K$10</f>
      </c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</row>
    <row r="299" spans="2:22" ht="18" thickBot="1" x14ac:dyDescent="0.35">
      <c r="B299" s="47" t="s">
        <v>296</v>
      </c>
      <c r="C299" s="48"/>
      <c r="D299" s="48"/>
      <c r="E299" s="48"/>
      <c r="F299" s="48"/>
      <c r="G299" s="48"/>
      <c r="H299" s="49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</row>
    <row r="300" spans="2:22" ht="15" thickBot="1" x14ac:dyDescent="0.35">
      <c r="C300" s="2"/>
      <c r="D300" s="2"/>
      <c r="E300" s="2"/>
      <c r="F300" s="2"/>
      <c r="L300" s="42" t="s">
        <v>141</v>
      </c>
      <c r="M300" s="42"/>
      <c r="N300" s="42"/>
      <c r="O300" s="42"/>
      <c r="P300" s="42"/>
      <c r="Q300" s="42"/>
      <c r="R300" s="42"/>
      <c r="S300" s="42"/>
      <c r="T300" s="42"/>
      <c r="U300" s="42"/>
    </row>
    <row r="301" spans="2:22" ht="16.2" thickTop="1" x14ac:dyDescent="0.3">
      <c r="C301" s="43" t="s">
        <v>389</v>
      </c>
      <c r="D301" s="43"/>
      <c r="E301" s="43"/>
      <c r="F301" s="43"/>
      <c r="G301" s="43"/>
      <c r="H301" s="44"/>
      <c r="I301" s="44"/>
      <c r="J301" s="44" t="str">
        <f>"FY"&amp;TEXT(RIGHT(K301,2)-(COLUMN(K301)-COLUMN()),"00")</f>
      </c>
      <c r="K301" s="44" t="str">
        <f>"FY"&amp;TEXT(DATE(YEAR('Data Sheet'!$K$16)+(MONTH('Data Sheet'!$K$16)&gt;3),1,1),"YY")</f>
      </c>
      <c r="L301" s="44" t="str">
        <f t="shared" ref="L301" si="293">"FY"&amp;TEXT(RIGHT(K301,2)+COLUMN()-COLUMN(K301),"00")</f>
      </c>
      <c r="M301" s="44" t="str">
        <f t="shared" ref="M301" si="294">"FY"&amp;TEXT(RIGHT(L301,2)+COLUMN()-COLUMN(L301),"00")</f>
      </c>
      <c r="N301" s="44" t="str">
        <f t="shared" ref="N301" si="295">"FY"&amp;TEXT(RIGHT(M301,2)+COLUMN()-COLUMN(M301),"00")</f>
      </c>
      <c r="O301" s="44" t="str">
        <f t="shared" ref="O301" si="296">"FY"&amp;TEXT(RIGHT(N301,2)+COLUMN()-COLUMN(N301),"00")</f>
      </c>
      <c r="P301" s="44" t="str">
        <f t="shared" ref="P301" si="297">"FY"&amp;TEXT(RIGHT(O301,2)+COLUMN()-COLUMN(O301),"00")</f>
      </c>
      <c r="Q301" s="44" t="str">
        <f t="shared" ref="Q301" si="298">"FY"&amp;TEXT(RIGHT(P301,2)+COLUMN()-COLUMN(P301),"00")</f>
      </c>
      <c r="R301" s="44" t="str">
        <f t="shared" ref="R301" si="299">"FY"&amp;TEXT(RIGHT(Q301,2)+COLUMN()-COLUMN(Q301),"00")</f>
      </c>
      <c r="S301" s="44" t="str">
        <f t="shared" ref="S301" si="300">"FY"&amp;TEXT(RIGHT(R301,2)+COLUMN()-COLUMN(R301),"00")</f>
      </c>
      <c r="T301" s="44" t="str">
        <f t="shared" ref="T301" si="301">"FY"&amp;TEXT(RIGHT(S301,2)+COLUMN()-COLUMN(S301),"00")</f>
      </c>
      <c r="U301" s="44" t="str">
        <f t="shared" ref="U301" si="302">"FY"&amp;TEXT(RIGHT(T301,2)+COLUMN()-COLUMN(T301),"00")</f>
      </c>
    </row>
    <row r="302" spans="2:22" ht="3" customHeight="1" x14ac:dyDescent="0.3"/>
    <row r="303" spans="2:22" ht="3" customHeight="1" x14ac:dyDescent="0.3"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2:22" ht="3" customHeight="1" x14ac:dyDescent="0.3"/>
    <row r="305" spans="3:21" ht="18" x14ac:dyDescent="0.35">
      <c r="C305" s="24" t="s">
        <v>269</v>
      </c>
      <c r="H305" s="77" t="str">
        <f>$H$23</f>
      </c>
    </row>
    <row r="306" spans="3:21" ht="3" customHeight="1" x14ac:dyDescent="0.3"/>
    <row r="307" spans="3:21" x14ac:dyDescent="0.3">
      <c r="D307" s="2" t="s">
        <v>270</v>
      </c>
      <c r="J307" s="71">
        <f>HistoricalData!T453</f>
      </c>
      <c r="K307" s="71">
        <f>HistoricalData!U453</f>
      </c>
      <c r="L307" s="40">
        <f t="shared" ref="L307:U307" si="303">L294</f>
      </c>
      <c r="M307" s="40">
        <f t="shared" si="303"/>
      </c>
      <c r="N307" s="40">
        <f t="shared" si="303"/>
      </c>
      <c r="O307" s="40">
        <f t="shared" si="303"/>
      </c>
      <c r="P307" s="40">
        <f t="shared" si="303"/>
      </c>
      <c r="Q307" s="40">
        <f t="shared" si="303"/>
      </c>
      <c r="R307" s="40">
        <f t="shared" si="303"/>
      </c>
      <c r="S307" s="40">
        <f t="shared" si="303"/>
      </c>
      <c r="T307" s="40">
        <f t="shared" si="303"/>
      </c>
      <c r="U307" s="40">
        <f t="shared" si="303"/>
      </c>
    </row>
    <row r="308" spans="3:21" x14ac:dyDescent="0.3">
      <c r="D308" s="2" t="s">
        <v>271</v>
      </c>
      <c r="J308" s="90">
        <f>HistoricalData!T454</f>
      </c>
      <c r="K308" s="90">
        <f>HistoricalData!U454</f>
      </c>
      <c r="L308" s="90">
        <f t="shared" ref="L308:U308" si="304">SUM(L309:L312)</f>
      </c>
      <c r="M308" s="90">
        <f t="shared" si="304"/>
      </c>
      <c r="N308" s="90">
        <f t="shared" si="304"/>
      </c>
      <c r="O308" s="90">
        <f t="shared" si="304"/>
      </c>
      <c r="P308" s="90">
        <f t="shared" si="304"/>
      </c>
      <c r="Q308" s="90">
        <f t="shared" si="304"/>
      </c>
      <c r="R308" s="90">
        <f t="shared" si="304"/>
      </c>
      <c r="S308" s="90">
        <f t="shared" si="304"/>
      </c>
      <c r="T308" s="90">
        <f t="shared" si="304"/>
      </c>
      <c r="U308" s="90">
        <f t="shared" si="304"/>
      </c>
    </row>
    <row r="309" spans="3:21" x14ac:dyDescent="0.3">
      <c r="E309" t="s">
        <v>16</v>
      </c>
      <c r="J309" s="71">
        <f>HistoricalData!T455</f>
      </c>
      <c r="K309" s="71">
        <f>HistoricalData!U455</f>
      </c>
      <c r="L309" s="40">
        <f>K309</f>
      </c>
      <c r="M309" s="40">
        <f t="shared" ref="M309:U312" si="305">L309</f>
      </c>
      <c r="N309" s="40">
        <f t="shared" si="305"/>
      </c>
      <c r="O309" s="40">
        <f t="shared" si="305"/>
      </c>
      <c r="P309" s="40">
        <f t="shared" si="305"/>
      </c>
      <c r="Q309" s="40">
        <f t="shared" si="305"/>
      </c>
      <c r="R309" s="40">
        <f t="shared" si="305"/>
      </c>
      <c r="S309" s="40">
        <f t="shared" si="305"/>
      </c>
      <c r="T309" s="40">
        <f t="shared" si="305"/>
      </c>
      <c r="U309" s="40">
        <f t="shared" si="305"/>
      </c>
    </row>
    <row r="310" spans="3:21" x14ac:dyDescent="0.3">
      <c r="E310" t="s">
        <v>93</v>
      </c>
      <c r="J310" s="71">
        <f>HistoricalData!T456</f>
      </c>
      <c r="K310" s="71">
        <f>HistoricalData!U456</f>
      </c>
      <c r="L310" s="40">
        <f>K310</f>
      </c>
      <c r="M310" s="40">
        <f t="shared" si="305"/>
      </c>
      <c r="N310" s="40">
        <f t="shared" si="305"/>
      </c>
      <c r="O310" s="40">
        <f t="shared" si="305"/>
      </c>
      <c r="P310" s="40">
        <f t="shared" si="305"/>
      </c>
      <c r="Q310" s="40">
        <f t="shared" si="305"/>
      </c>
      <c r="R310" s="40">
        <f t="shared" si="305"/>
      </c>
      <c r="S310" s="40">
        <f t="shared" si="305"/>
      </c>
      <c r="T310" s="40">
        <f t="shared" si="305"/>
      </c>
      <c r="U310" s="40">
        <f t="shared" si="305"/>
      </c>
    </row>
    <row r="311" spans="3:21" x14ac:dyDescent="0.3">
      <c r="E311" t="s">
        <v>102</v>
      </c>
      <c r="J311" s="71">
        <f>HistoricalData!T457</f>
      </c>
      <c r="K311" s="71">
        <f>HistoricalData!U457</f>
      </c>
      <c r="L311" s="40">
        <f>K311</f>
      </c>
      <c r="M311" s="40">
        <f t="shared" si="305"/>
      </c>
      <c r="N311" s="40">
        <f t="shared" si="305"/>
      </c>
      <c r="O311" s="40">
        <f t="shared" si="305"/>
      </c>
      <c r="P311" s="40">
        <f t="shared" si="305"/>
      </c>
      <c r="Q311" s="40">
        <f t="shared" si="305"/>
      </c>
      <c r="R311" s="40">
        <f t="shared" si="305"/>
      </c>
      <c r="S311" s="40">
        <f t="shared" si="305"/>
      </c>
      <c r="T311" s="40">
        <f t="shared" si="305"/>
      </c>
      <c r="U311" s="40">
        <f t="shared" si="305"/>
      </c>
    </row>
    <row r="312" spans="3:21" x14ac:dyDescent="0.3">
      <c r="E312" t="s">
        <v>272</v>
      </c>
      <c r="J312" s="71">
        <f>HistoricalData!T458</f>
      </c>
      <c r="K312" s="71">
        <f>HistoricalData!U458</f>
      </c>
      <c r="L312" s="40">
        <f>K312</f>
      </c>
      <c r="M312" s="40">
        <f t="shared" si="305"/>
      </c>
      <c r="N312" s="40">
        <f t="shared" si="305"/>
      </c>
      <c r="O312" s="40">
        <f t="shared" si="305"/>
      </c>
      <c r="P312" s="40">
        <f t="shared" si="305"/>
      </c>
      <c r="Q312" s="40">
        <f t="shared" si="305"/>
      </c>
      <c r="R312" s="40">
        <f t="shared" si="305"/>
      </c>
      <c r="S312" s="40">
        <f t="shared" si="305"/>
      </c>
      <c r="T312" s="40">
        <f t="shared" si="305"/>
      </c>
      <c r="U312" s="40">
        <f t="shared" si="305"/>
      </c>
    </row>
    <row r="313" spans="3:21" x14ac:dyDescent="0.3">
      <c r="D313" s="2" t="s">
        <v>155</v>
      </c>
      <c r="J313" s="71">
        <f>HistoricalData!T459</f>
      </c>
      <c r="K313" s="71">
        <f>HistoricalData!U459</f>
      </c>
      <c r="L313" s="40">
        <f>L461</f>
      </c>
      <c r="M313" s="40">
        <f t="shared" ref="M313:U313" si="306">M461</f>
      </c>
      <c r="N313" s="40">
        <f t="shared" si="306"/>
      </c>
      <c r="O313" s="40">
        <f t="shared" si="306"/>
      </c>
      <c r="P313" s="40">
        <f t="shared" si="306"/>
      </c>
      <c r="Q313" s="40">
        <f t="shared" si="306"/>
      </c>
      <c r="R313" s="40">
        <f t="shared" si="306"/>
      </c>
      <c r="S313" s="40">
        <f t="shared" si="306"/>
      </c>
      <c r="T313" s="40">
        <f t="shared" si="306"/>
      </c>
      <c r="U313" s="40">
        <f t="shared" si="306"/>
      </c>
    </row>
    <row r="314" spans="3:21" x14ac:dyDescent="0.3">
      <c r="D314" s="2" t="s">
        <v>30</v>
      </c>
      <c r="J314" s="71">
        <f>HistoricalData!T460</f>
      </c>
      <c r="K314" s="71">
        <f>HistoricalData!U460</f>
      </c>
      <c r="L314" s="40">
        <f>L462</f>
      </c>
      <c r="M314" s="40">
        <f t="shared" ref="M314:U314" si="307">M462</f>
      </c>
      <c r="N314" s="40">
        <f t="shared" si="307"/>
      </c>
      <c r="O314" s="40">
        <f t="shared" si="307"/>
      </c>
      <c r="P314" s="40">
        <f t="shared" si="307"/>
      </c>
      <c r="Q314" s="40">
        <f t="shared" si="307"/>
      </c>
      <c r="R314" s="40">
        <f t="shared" si="307"/>
      </c>
      <c r="S314" s="40">
        <f t="shared" si="307"/>
      </c>
      <c r="T314" s="40">
        <f t="shared" si="307"/>
      </c>
      <c r="U314" s="40">
        <f t="shared" si="307"/>
      </c>
    </row>
    <row r="315" spans="3:21" x14ac:dyDescent="0.3">
      <c r="D315" s="2" t="s">
        <v>95</v>
      </c>
      <c r="J315" s="71">
        <f>HistoricalData!T461</f>
      </c>
      <c r="K315" s="71">
        <f>HistoricalData!U461</f>
      </c>
      <c r="L315" s="40">
        <f>L463</f>
      </c>
      <c r="M315" s="40">
        <f t="shared" ref="M315:U315" si="308">M463</f>
      </c>
      <c r="N315" s="40">
        <f t="shared" si="308"/>
      </c>
      <c r="O315" s="40">
        <f t="shared" si="308"/>
      </c>
      <c r="P315" s="40">
        <f t="shared" si="308"/>
      </c>
      <c r="Q315" s="40">
        <f t="shared" si="308"/>
      </c>
      <c r="R315" s="40">
        <f t="shared" si="308"/>
      </c>
      <c r="S315" s="40">
        <f t="shared" si="308"/>
      </c>
      <c r="T315" s="40">
        <f t="shared" si="308"/>
      </c>
      <c r="U315" s="40">
        <f t="shared" si="308"/>
      </c>
    </row>
    <row r="316" spans="3:21" x14ac:dyDescent="0.3">
      <c r="D316" s="2" t="s">
        <v>94</v>
      </c>
      <c r="J316" s="90">
        <f>HistoricalData!T462</f>
      </c>
      <c r="K316" s="90">
        <f>HistoricalData!U462</f>
      </c>
      <c r="L316" s="91">
        <f>L464</f>
      </c>
      <c r="M316" s="91">
        <f t="shared" ref="M316:U316" si="309">M464</f>
      </c>
      <c r="N316" s="91">
        <f t="shared" si="309"/>
      </c>
      <c r="O316" s="91">
        <f t="shared" si="309"/>
      </c>
      <c r="P316" s="91">
        <f t="shared" si="309"/>
      </c>
      <c r="Q316" s="91">
        <f t="shared" si="309"/>
      </c>
      <c r="R316" s="91">
        <f t="shared" si="309"/>
      </c>
      <c r="S316" s="91">
        <f t="shared" si="309"/>
      </c>
      <c r="T316" s="91">
        <f t="shared" si="309"/>
      </c>
      <c r="U316" s="91">
        <f t="shared" si="309"/>
      </c>
    </row>
    <row r="317" spans="3:21" x14ac:dyDescent="0.3">
      <c r="E317" t="s">
        <v>103</v>
      </c>
      <c r="J317" s="71">
        <f>HistoricalData!T463</f>
      </c>
      <c r="K317" s="71">
        <f>HistoricalData!U463</f>
      </c>
      <c r="L317" s="40"/>
      <c r="M317" s="40"/>
      <c r="N317" s="40"/>
      <c r="O317" s="40"/>
      <c r="P317" s="40"/>
      <c r="Q317" s="40"/>
      <c r="R317" s="40"/>
      <c r="S317" s="40"/>
      <c r="T317" s="40"/>
      <c r="U317" s="40"/>
    </row>
    <row r="318" spans="3:21" x14ac:dyDescent="0.3">
      <c r="E318" t="s">
        <v>111</v>
      </c>
      <c r="J318" s="71">
        <f>HistoricalData!T464</f>
      </c>
      <c r="K318" s="71">
        <f>HistoricalData!U464</f>
      </c>
      <c r="L318" s="40"/>
      <c r="M318" s="40"/>
      <c r="N318" s="40"/>
      <c r="O318" s="40"/>
      <c r="P318" s="40"/>
      <c r="Q318" s="40"/>
      <c r="R318" s="40"/>
      <c r="S318" s="40"/>
      <c r="T318" s="40"/>
      <c r="U318" s="40"/>
    </row>
    <row r="319" spans="3:21" x14ac:dyDescent="0.3">
      <c r="D319" s="2" t="s">
        <v>273</v>
      </c>
      <c r="J319" s="103">
        <f>HistoricalData!T465</f>
      </c>
      <c r="K319" s="103">
        <f>HistoricalData!U465</f>
      </c>
      <c r="L319" s="103">
        <f>L307+L316+L308+L315+L314+L313</f>
      </c>
      <c r="M319" s="103">
        <f t="shared" ref="M319:U319" si="310">M307+M316+M308+M315+M314+M313</f>
      </c>
      <c r="N319" s="103">
        <f t="shared" si="310"/>
      </c>
      <c r="O319" s="103">
        <f t="shared" si="310"/>
      </c>
      <c r="P319" s="103">
        <f t="shared" si="310"/>
      </c>
      <c r="Q319" s="103">
        <f t="shared" si="310"/>
      </c>
      <c r="R319" s="103">
        <f t="shared" si="310"/>
      </c>
      <c r="S319" s="103">
        <f t="shared" si="310"/>
      </c>
      <c r="T319" s="103">
        <f t="shared" si="310"/>
      </c>
      <c r="U319" s="103">
        <f t="shared" si="310"/>
      </c>
    </row>
    <row r="320" spans="3:21" x14ac:dyDescent="0.3"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</row>
    <row r="321" spans="3:21" x14ac:dyDescent="0.3">
      <c r="D321" s="2" t="s">
        <v>274</v>
      </c>
      <c r="J321" s="90">
        <f>HistoricalData!T467</f>
      </c>
      <c r="K321" s="90">
        <f>HistoricalData!U467</f>
      </c>
      <c r="L321" s="90">
        <f>K321-L275-L264</f>
      </c>
      <c r="M321" s="90">
        <f t="shared" ref="M321:U321" si="311">L321-M275-M264</f>
      </c>
      <c r="N321" s="90">
        <f t="shared" si="311"/>
      </c>
      <c r="O321" s="90">
        <f t="shared" si="311"/>
      </c>
      <c r="P321" s="90">
        <f t="shared" si="311"/>
      </c>
      <c r="Q321" s="90">
        <f t="shared" si="311"/>
      </c>
      <c r="R321" s="90">
        <f t="shared" si="311"/>
      </c>
      <c r="S321" s="90">
        <f t="shared" si="311"/>
      </c>
      <c r="T321" s="90">
        <f t="shared" si="311"/>
      </c>
      <c r="U321" s="90">
        <f t="shared" si="311"/>
      </c>
    </row>
    <row r="322" spans="3:21" x14ac:dyDescent="0.3">
      <c r="E322" t="s">
        <v>275</v>
      </c>
      <c r="J322" s="71">
        <f>HistoricalData!T468</f>
      </c>
      <c r="K322" s="71">
        <f>HistoricalData!U468</f>
      </c>
      <c r="L322" s="40"/>
      <c r="M322" s="40"/>
      <c r="N322" s="40"/>
      <c r="O322" s="40"/>
      <c r="P322" s="40"/>
      <c r="Q322" s="40"/>
      <c r="R322" s="40"/>
      <c r="S322" s="40"/>
      <c r="T322" s="40"/>
      <c r="U322" s="40"/>
    </row>
    <row r="323" spans="3:21" x14ac:dyDescent="0.3">
      <c r="E323" t="s">
        <v>276</v>
      </c>
      <c r="J323" s="71">
        <f>HistoricalData!T469</f>
      </c>
      <c r="K323" s="71">
        <f>HistoricalData!U469</f>
      </c>
      <c r="L323" s="40"/>
      <c r="M323" s="40"/>
      <c r="N323" s="40"/>
      <c r="O323" s="40"/>
      <c r="P323" s="40"/>
      <c r="Q323" s="40"/>
      <c r="R323" s="40"/>
      <c r="S323" s="40"/>
      <c r="T323" s="40"/>
      <c r="U323" s="40"/>
    </row>
    <row r="324" spans="3:21" x14ac:dyDescent="0.3">
      <c r="E324" t="s">
        <v>277</v>
      </c>
      <c r="J324" s="71">
        <f>HistoricalData!T470</f>
      </c>
      <c r="K324" s="71">
        <f>HistoricalData!U470</f>
      </c>
      <c r="L324" s="40"/>
      <c r="M324" s="40"/>
      <c r="N324" s="40"/>
      <c r="O324" s="40"/>
      <c r="P324" s="40"/>
      <c r="Q324" s="40"/>
      <c r="R324" s="40"/>
      <c r="S324" s="40"/>
      <c r="T324" s="40"/>
      <c r="U324" s="40"/>
    </row>
    <row r="325" spans="3:21" x14ac:dyDescent="0.3">
      <c r="D325" s="2" t="s">
        <v>278</v>
      </c>
      <c r="J325" s="90">
        <f>HistoricalData!T471</f>
      </c>
      <c r="K325" s="90">
        <f>HistoricalData!U471</f>
      </c>
      <c r="L325" s="91">
        <f>K325</f>
      </c>
      <c r="M325" s="91">
        <f t="shared" ref="M325:U325" si="312">L325</f>
      </c>
      <c r="N325" s="91">
        <f t="shared" si="312"/>
      </c>
      <c r="O325" s="91">
        <f t="shared" si="312"/>
      </c>
      <c r="P325" s="91">
        <f t="shared" si="312"/>
      </c>
      <c r="Q325" s="91">
        <f t="shared" si="312"/>
      </c>
      <c r="R325" s="91">
        <f t="shared" si="312"/>
      </c>
      <c r="S325" s="91">
        <f t="shared" si="312"/>
      </c>
      <c r="T325" s="91">
        <f t="shared" si="312"/>
      </c>
      <c r="U325" s="91">
        <f t="shared" si="312"/>
      </c>
    </row>
    <row r="326" spans="3:21" x14ac:dyDescent="0.3">
      <c r="D326" s="2" t="s">
        <v>111</v>
      </c>
      <c r="J326" s="71">
        <f>HistoricalData!T472</f>
      </c>
      <c r="K326" s="71">
        <f>HistoricalData!U472</f>
      </c>
      <c r="L326" s="71">
        <f t="shared" ref="L326:U326" si="313">SUM(L327:L331)</f>
      </c>
      <c r="M326" s="71">
        <f t="shared" si="313"/>
      </c>
      <c r="N326" s="71">
        <f t="shared" si="313"/>
      </c>
      <c r="O326" s="71">
        <f t="shared" si="313"/>
      </c>
      <c r="P326" s="71">
        <f t="shared" si="313"/>
      </c>
      <c r="Q326" s="71">
        <f t="shared" si="313"/>
      </c>
      <c r="R326" s="71">
        <f t="shared" si="313"/>
      </c>
      <c r="S326" s="71">
        <f t="shared" si="313"/>
      </c>
      <c r="T326" s="71">
        <f t="shared" si="313"/>
      </c>
      <c r="U326" s="71">
        <f t="shared" si="313"/>
      </c>
    </row>
    <row r="327" spans="3:21" x14ac:dyDescent="0.3">
      <c r="E327" t="s">
        <v>279</v>
      </c>
      <c r="J327" s="71">
        <f>HistoricalData!T473</f>
      </c>
      <c r="K327" s="71">
        <f>HistoricalData!U473</f>
      </c>
      <c r="L327" s="40">
        <f>K327</f>
      </c>
      <c r="M327" s="40">
        <f t="shared" ref="M327:U331" si="314">L327</f>
      </c>
      <c r="N327" s="40">
        <f t="shared" si="314"/>
      </c>
      <c r="O327" s="40">
        <f t="shared" si="314"/>
      </c>
      <c r="P327" s="40">
        <f t="shared" si="314"/>
      </c>
      <c r="Q327" s="40">
        <f t="shared" si="314"/>
      </c>
      <c r="R327" s="40">
        <f t="shared" si="314"/>
      </c>
      <c r="S327" s="40">
        <f t="shared" si="314"/>
      </c>
      <c r="T327" s="40">
        <f t="shared" si="314"/>
      </c>
      <c r="U327" s="40">
        <f t="shared" si="314"/>
      </c>
    </row>
    <row r="328" spans="3:21" x14ac:dyDescent="0.3">
      <c r="E328" t="s">
        <v>101</v>
      </c>
      <c r="J328" s="71">
        <f>HistoricalData!T474</f>
      </c>
      <c r="K328" s="71">
        <f>HistoricalData!U474</f>
      </c>
      <c r="L328" s="40">
        <f>K328</f>
      </c>
      <c r="M328" s="40">
        <f t="shared" si="314"/>
      </c>
      <c r="N328" s="40">
        <f t="shared" si="314"/>
      </c>
      <c r="O328" s="40">
        <f t="shared" si="314"/>
      </c>
      <c r="P328" s="40">
        <f t="shared" si="314"/>
      </c>
      <c r="Q328" s="40">
        <f t="shared" si="314"/>
      </c>
      <c r="R328" s="40">
        <f t="shared" si="314"/>
      </c>
      <c r="S328" s="40">
        <f t="shared" si="314"/>
      </c>
      <c r="T328" s="40">
        <f t="shared" si="314"/>
      </c>
      <c r="U328" s="40">
        <f t="shared" si="314"/>
      </c>
    </row>
    <row r="329" spans="3:21" x14ac:dyDescent="0.3">
      <c r="E329" t="s">
        <v>280</v>
      </c>
      <c r="J329" s="71">
        <f>HistoricalData!T475</f>
      </c>
      <c r="K329" s="71">
        <f>HistoricalData!U475</f>
      </c>
      <c r="L329" s="40">
        <f>K329</f>
      </c>
      <c r="M329" s="40">
        <f t="shared" si="314"/>
      </c>
      <c r="N329" s="40">
        <f t="shared" si="314"/>
      </c>
      <c r="O329" s="40">
        <f t="shared" si="314"/>
      </c>
      <c r="P329" s="40">
        <f t="shared" si="314"/>
      </c>
      <c r="Q329" s="40">
        <f t="shared" si="314"/>
      </c>
      <c r="R329" s="40">
        <f t="shared" si="314"/>
      </c>
      <c r="S329" s="40">
        <f t="shared" si="314"/>
      </c>
      <c r="T329" s="40">
        <f t="shared" si="314"/>
      </c>
      <c r="U329" s="40">
        <f t="shared" si="314"/>
      </c>
    </row>
    <row r="330" spans="3:21" x14ac:dyDescent="0.3">
      <c r="E330" t="s">
        <v>281</v>
      </c>
      <c r="J330" s="71">
        <f>HistoricalData!T476</f>
      </c>
      <c r="K330" s="71">
        <f>HistoricalData!U476</f>
      </c>
      <c r="L330" s="40">
        <f>K330</f>
      </c>
      <c r="M330" s="40">
        <f t="shared" si="314"/>
      </c>
      <c r="N330" s="40">
        <f t="shared" si="314"/>
      </c>
      <c r="O330" s="40">
        <f t="shared" si="314"/>
      </c>
      <c r="P330" s="40">
        <f t="shared" si="314"/>
      </c>
      <c r="Q330" s="40">
        <f t="shared" si="314"/>
      </c>
      <c r="R330" s="40">
        <f t="shared" si="314"/>
      </c>
      <c r="S330" s="40">
        <f t="shared" si="314"/>
      </c>
      <c r="T330" s="40">
        <f t="shared" si="314"/>
      </c>
      <c r="U330" s="40">
        <f t="shared" si="314"/>
      </c>
    </row>
    <row r="331" spans="3:21" x14ac:dyDescent="0.3">
      <c r="E331" t="s">
        <v>111</v>
      </c>
      <c r="J331" s="71">
        <f>HistoricalData!T477</f>
      </c>
      <c r="K331" s="71">
        <f>HistoricalData!U477</f>
      </c>
      <c r="L331" s="40">
        <f>K331</f>
      </c>
      <c r="M331" s="40">
        <f t="shared" si="314"/>
      </c>
      <c r="N331" s="40">
        <f t="shared" si="314"/>
      </c>
      <c r="O331" s="40">
        <f t="shared" si="314"/>
      </c>
      <c r="P331" s="40">
        <f t="shared" si="314"/>
      </c>
      <c r="Q331" s="40">
        <f t="shared" si="314"/>
      </c>
      <c r="R331" s="40">
        <f t="shared" si="314"/>
      </c>
      <c r="S331" s="40">
        <f t="shared" si="314"/>
      </c>
      <c r="T331" s="40">
        <f t="shared" si="314"/>
      </c>
      <c r="U331" s="40">
        <f t="shared" si="314"/>
      </c>
    </row>
    <row r="332" spans="3:21" x14ac:dyDescent="0.3">
      <c r="D332" s="2" t="s">
        <v>282</v>
      </c>
      <c r="J332" s="103">
        <f>HistoricalData!T478</f>
      </c>
      <c r="K332" s="103">
        <f>HistoricalData!U478</f>
      </c>
      <c r="L332" s="103">
        <f t="shared" ref="L332:U332" si="315">L321+L325+L326</f>
      </c>
      <c r="M332" s="103">
        <f t="shared" si="315"/>
      </c>
      <c r="N332" s="103">
        <f t="shared" si="315"/>
      </c>
      <c r="O332" s="103">
        <f t="shared" si="315"/>
      </c>
      <c r="P332" s="103">
        <f t="shared" si="315"/>
      </c>
      <c r="Q332" s="103">
        <f t="shared" si="315"/>
      </c>
      <c r="R332" s="103">
        <f t="shared" si="315"/>
      </c>
      <c r="S332" s="103">
        <f t="shared" si="315"/>
      </c>
      <c r="T332" s="103">
        <f t="shared" si="315"/>
      </c>
      <c r="U332" s="103">
        <f t="shared" si="315"/>
      </c>
    </row>
    <row r="333" spans="3:21" ht="3" customHeight="1" x14ac:dyDescent="0.3"/>
    <row r="334" spans="3:21" ht="18.600000000000001" thickBot="1" x14ac:dyDescent="0.4">
      <c r="C334" s="24"/>
      <c r="D334" s="24" t="s">
        <v>76</v>
      </c>
      <c r="J334" s="104">
        <f>HistoricalData!T480</f>
      </c>
      <c r="K334" s="104">
        <f>HistoricalData!U480</f>
      </c>
      <c r="L334" s="104">
        <f t="shared" ref="L334:U334" si="316">L319+L332</f>
      </c>
      <c r="M334" s="104">
        <f t="shared" si="316"/>
      </c>
      <c r="N334" s="104">
        <f t="shared" si="316"/>
      </c>
      <c r="O334" s="104">
        <f t="shared" si="316"/>
      </c>
      <c r="P334" s="104">
        <f t="shared" si="316"/>
      </c>
      <c r="Q334" s="104">
        <f t="shared" si="316"/>
      </c>
      <c r="R334" s="104">
        <f t="shared" si="316"/>
      </c>
      <c r="S334" s="104">
        <f t="shared" si="316"/>
      </c>
      <c r="T334" s="104">
        <f t="shared" si="316"/>
      </c>
      <c r="U334" s="104">
        <f t="shared" si="316"/>
      </c>
    </row>
    <row r="335" spans="3:21" ht="15" thickTop="1" x14ac:dyDescent="0.3"/>
    <row r="337" spans="2:22" x14ac:dyDescent="0.3">
      <c r="U337" s="227" t="str">
        <f>$U$2</f>
      </c>
    </row>
    <row r="338" spans="2:22" ht="18" x14ac:dyDescent="0.35">
      <c r="B338" s="148" t="str">
        <f>'Assumptions&amp;Scenario'!$K$10</f>
      </c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</row>
    <row r="339" spans="2:22" ht="18" thickBot="1" x14ac:dyDescent="0.35">
      <c r="B339" s="47" t="s">
        <v>295</v>
      </c>
      <c r="C339" s="48"/>
      <c r="D339" s="48"/>
      <c r="E339" s="48"/>
      <c r="F339" s="48"/>
      <c r="G339" s="48"/>
      <c r="H339" s="49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</row>
    <row r="340" spans="2:22" ht="15" thickBot="1" x14ac:dyDescent="0.35">
      <c r="C340" s="2"/>
      <c r="D340" s="2"/>
      <c r="E340" s="2"/>
      <c r="F340" s="2"/>
      <c r="L340" s="42" t="s">
        <v>141</v>
      </c>
      <c r="M340" s="42"/>
      <c r="N340" s="42"/>
      <c r="O340" s="42"/>
      <c r="P340" s="42"/>
      <c r="Q340" s="42"/>
      <c r="R340" s="42"/>
      <c r="S340" s="42"/>
      <c r="T340" s="42"/>
      <c r="U340" s="42"/>
    </row>
    <row r="341" spans="2:22" ht="16.2" thickTop="1" x14ac:dyDescent="0.3">
      <c r="C341" s="43" t="s">
        <v>389</v>
      </c>
      <c r="D341" s="43"/>
      <c r="E341" s="43"/>
      <c r="F341" s="43"/>
      <c r="G341" s="43"/>
      <c r="H341" s="44"/>
      <c r="I341" s="44"/>
      <c r="J341" s="44" t="str">
        <f>"FY"&amp;TEXT(RIGHT(K341,2)-(COLUMN(K341)-COLUMN()),"00")</f>
      </c>
      <c r="K341" s="44" t="str">
        <f>"FY"&amp;TEXT(DATE(YEAR('Data Sheet'!$K$16)+(MONTH('Data Sheet'!$K$16)&gt;3),1,1),"YY")</f>
      </c>
      <c r="L341" s="44" t="str">
        <f t="shared" ref="L341" si="317">"FY"&amp;TEXT(RIGHT(K341,2)+COLUMN()-COLUMN(K341),"00")</f>
      </c>
      <c r="M341" s="44" t="str">
        <f t="shared" ref="M341" si="318">"FY"&amp;TEXT(RIGHT(L341,2)+COLUMN()-COLUMN(L341),"00")</f>
      </c>
      <c r="N341" s="44" t="str">
        <f t="shared" ref="N341" si="319">"FY"&amp;TEXT(RIGHT(M341,2)+COLUMN()-COLUMN(M341),"00")</f>
      </c>
      <c r="O341" s="44" t="str">
        <f t="shared" ref="O341" si="320">"FY"&amp;TEXT(RIGHT(N341,2)+COLUMN()-COLUMN(N341),"00")</f>
      </c>
      <c r="P341" s="44" t="str">
        <f t="shared" ref="P341" si="321">"FY"&amp;TEXT(RIGHT(O341,2)+COLUMN()-COLUMN(O341),"00")</f>
      </c>
      <c r="Q341" s="44" t="str">
        <f t="shared" ref="Q341" si="322">"FY"&amp;TEXT(RIGHT(P341,2)+COLUMN()-COLUMN(P341),"00")</f>
      </c>
      <c r="R341" s="44" t="str">
        <f t="shared" ref="R341" si="323">"FY"&amp;TEXT(RIGHT(Q341,2)+COLUMN()-COLUMN(Q341),"00")</f>
      </c>
      <c r="S341" s="44" t="str">
        <f t="shared" ref="S341" si="324">"FY"&amp;TEXT(RIGHT(R341,2)+COLUMN()-COLUMN(R341),"00")</f>
      </c>
      <c r="T341" s="44" t="str">
        <f t="shared" ref="T341" si="325">"FY"&amp;TEXT(RIGHT(S341,2)+COLUMN()-COLUMN(S341),"00")</f>
      </c>
      <c r="U341" s="44" t="str">
        <f t="shared" ref="U341" si="326">"FY"&amp;TEXT(RIGHT(T341,2)+COLUMN()-COLUMN(T341),"00")</f>
      </c>
    </row>
    <row r="342" spans="2:22" ht="3" customHeight="1" x14ac:dyDescent="0.3"/>
    <row r="343" spans="2:22" ht="3" customHeight="1" x14ac:dyDescent="0.3"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2:22" ht="3" customHeight="1" x14ac:dyDescent="0.3"/>
    <row r="345" spans="2:22" ht="18" x14ac:dyDescent="0.35">
      <c r="C345" s="24" t="s">
        <v>614</v>
      </c>
      <c r="H345" s="77" t="str">
        <f>$H$23</f>
      </c>
    </row>
    <row r="346" spans="2:22" ht="3" customHeight="1" x14ac:dyDescent="0.3"/>
    <row r="347" spans="2:22" x14ac:dyDescent="0.3">
      <c r="D347" s="2" t="s">
        <v>104</v>
      </c>
      <c r="J347" s="90">
        <f>HistoricalData!T493</f>
      </c>
      <c r="K347" s="90">
        <f>HistoricalData!U493</f>
      </c>
      <c r="L347" s="90">
        <f>L505</f>
      </c>
      <c r="M347" s="90">
        <f t="shared" ref="M347:U347" si="327">M505</f>
      </c>
      <c r="N347" s="90">
        <f t="shared" si="327"/>
      </c>
      <c r="O347" s="90">
        <f t="shared" si="327"/>
      </c>
      <c r="P347" s="90">
        <f t="shared" si="327"/>
      </c>
      <c r="Q347" s="90">
        <f t="shared" si="327"/>
      </c>
      <c r="R347" s="90">
        <f t="shared" si="327"/>
      </c>
      <c r="S347" s="90">
        <f t="shared" si="327"/>
      </c>
      <c r="T347" s="90">
        <f t="shared" si="327"/>
      </c>
      <c r="U347" s="90">
        <f t="shared" si="327"/>
      </c>
    </row>
    <row r="348" spans="2:22" x14ac:dyDescent="0.3">
      <c r="E348" t="s">
        <v>283</v>
      </c>
      <c r="J348" s="71">
        <f>HistoricalData!T494</f>
      </c>
      <c r="K348" s="71">
        <f>HistoricalData!U494</f>
      </c>
      <c r="L348" s="71"/>
      <c r="M348" s="71"/>
      <c r="N348" s="71"/>
      <c r="O348" s="71"/>
      <c r="P348" s="71"/>
      <c r="Q348" s="71"/>
      <c r="R348" s="71"/>
      <c r="S348" s="71"/>
      <c r="T348" s="71"/>
      <c r="U348" s="71"/>
    </row>
    <row r="349" spans="2:22" x14ac:dyDescent="0.3">
      <c r="E349" t="s">
        <v>284</v>
      </c>
      <c r="J349" s="71">
        <f>HistoricalData!T495</f>
      </c>
      <c r="K349" s="71">
        <f>HistoricalData!U495</f>
      </c>
      <c r="L349" s="71"/>
      <c r="M349" s="71"/>
      <c r="N349" s="71"/>
      <c r="O349" s="71"/>
      <c r="P349" s="71"/>
      <c r="Q349" s="71"/>
      <c r="R349" s="71"/>
      <c r="S349" s="71"/>
      <c r="T349" s="71"/>
      <c r="U349" s="71"/>
    </row>
    <row r="350" spans="2:22" x14ac:dyDescent="0.3">
      <c r="E350" t="s">
        <v>88</v>
      </c>
      <c r="J350" s="71">
        <f>HistoricalData!T496</f>
      </c>
      <c r="K350" s="71">
        <f>HistoricalData!U496</f>
      </c>
      <c r="L350" s="71"/>
      <c r="M350" s="71"/>
      <c r="N350" s="71"/>
      <c r="O350" s="71"/>
      <c r="P350" s="71"/>
      <c r="Q350" s="71"/>
      <c r="R350" s="71"/>
      <c r="S350" s="71"/>
      <c r="T350" s="71"/>
      <c r="U350" s="71"/>
    </row>
    <row r="351" spans="2:22" x14ac:dyDescent="0.3">
      <c r="D351" s="2" t="s">
        <v>157</v>
      </c>
      <c r="J351" s="90">
        <f>HistoricalData!T497</f>
      </c>
      <c r="K351" s="90">
        <f>HistoricalData!U497</f>
      </c>
      <c r="L351" s="90">
        <f>L465</f>
      </c>
      <c r="M351" s="90">
        <f t="shared" ref="M351:U351" si="328">M465</f>
      </c>
      <c r="N351" s="90">
        <f t="shared" si="328"/>
      </c>
      <c r="O351" s="90">
        <f t="shared" si="328"/>
      </c>
      <c r="P351" s="90">
        <f t="shared" si="328"/>
      </c>
      <c r="Q351" s="90">
        <f t="shared" si="328"/>
      </c>
      <c r="R351" s="90">
        <f t="shared" si="328"/>
      </c>
      <c r="S351" s="90">
        <f t="shared" si="328"/>
      </c>
      <c r="T351" s="90">
        <f t="shared" si="328"/>
      </c>
      <c r="U351" s="90">
        <f t="shared" si="328"/>
      </c>
    </row>
    <row r="352" spans="2:22" x14ac:dyDescent="0.3">
      <c r="D352" s="2" t="s">
        <v>111</v>
      </c>
      <c r="J352" s="90">
        <f>HistoricalData!T498</f>
      </c>
      <c r="K352" s="90">
        <f>HistoricalData!U498</f>
      </c>
      <c r="L352" s="90">
        <f>L466</f>
      </c>
      <c r="M352" s="90">
        <f t="shared" ref="M352:U352" si="329">M466</f>
      </c>
      <c r="N352" s="90">
        <f t="shared" si="329"/>
      </c>
      <c r="O352" s="90">
        <f t="shared" si="329"/>
      </c>
      <c r="P352" s="90">
        <f t="shared" si="329"/>
      </c>
      <c r="Q352" s="90">
        <f t="shared" si="329"/>
      </c>
      <c r="R352" s="90">
        <f t="shared" si="329"/>
      </c>
      <c r="S352" s="90">
        <f t="shared" si="329"/>
      </c>
      <c r="T352" s="90">
        <f t="shared" si="329"/>
      </c>
      <c r="U352" s="90">
        <f t="shared" si="329"/>
      </c>
    </row>
    <row r="353" spans="4:21" x14ac:dyDescent="0.3">
      <c r="E353" t="s">
        <v>100</v>
      </c>
      <c r="J353" s="71">
        <f>HistoricalData!T499</f>
      </c>
      <c r="K353" s="71">
        <f>HistoricalData!U499</f>
      </c>
      <c r="L353" s="71"/>
      <c r="M353" s="71"/>
      <c r="N353" s="71"/>
      <c r="O353" s="71"/>
      <c r="P353" s="71"/>
      <c r="Q353" s="71"/>
      <c r="R353" s="71"/>
      <c r="S353" s="71"/>
      <c r="T353" s="71"/>
      <c r="U353" s="71"/>
    </row>
    <row r="354" spans="4:21" x14ac:dyDescent="0.3">
      <c r="E354" t="s">
        <v>90</v>
      </c>
      <c r="J354" s="71">
        <f>HistoricalData!T500</f>
      </c>
      <c r="K354" s="71">
        <f>HistoricalData!U500</f>
      </c>
      <c r="L354" s="71"/>
      <c r="M354" s="71"/>
      <c r="N354" s="71"/>
      <c r="O354" s="71"/>
      <c r="P354" s="71"/>
      <c r="Q354" s="71"/>
      <c r="R354" s="71"/>
      <c r="S354" s="71"/>
      <c r="T354" s="71"/>
      <c r="U354" s="71"/>
    </row>
    <row r="355" spans="4:21" x14ac:dyDescent="0.3">
      <c r="E355" t="s">
        <v>99</v>
      </c>
      <c r="J355" s="71">
        <f>HistoricalData!T501</f>
      </c>
      <c r="K355" s="71">
        <f>HistoricalData!U501</f>
      </c>
      <c r="L355" s="71"/>
      <c r="M355" s="71"/>
      <c r="N355" s="71"/>
      <c r="O355" s="71"/>
      <c r="P355" s="71"/>
      <c r="Q355" s="71"/>
      <c r="R355" s="71"/>
      <c r="S355" s="71"/>
      <c r="T355" s="71"/>
      <c r="U355" s="71"/>
    </row>
    <row r="356" spans="4:21" x14ac:dyDescent="0.3">
      <c r="E356" t="s">
        <v>285</v>
      </c>
      <c r="J356" s="71">
        <f>HistoricalData!T502</f>
      </c>
      <c r="K356" s="71">
        <f>HistoricalData!U502</f>
      </c>
      <c r="L356" s="71"/>
      <c r="M356" s="71"/>
      <c r="N356" s="71"/>
      <c r="O356" s="71"/>
      <c r="P356" s="71"/>
      <c r="Q356" s="71"/>
      <c r="R356" s="71"/>
      <c r="S356" s="71"/>
      <c r="T356" s="71"/>
      <c r="U356" s="71"/>
    </row>
    <row r="357" spans="4:21" x14ac:dyDescent="0.3">
      <c r="E357" t="s">
        <v>91</v>
      </c>
      <c r="J357" s="71">
        <f>HistoricalData!T503</f>
      </c>
      <c r="K357" s="71">
        <f>HistoricalData!U503</f>
      </c>
      <c r="L357" s="71"/>
      <c r="M357" s="71"/>
      <c r="N357" s="71"/>
      <c r="O357" s="71"/>
      <c r="P357" s="71"/>
      <c r="Q357" s="71"/>
      <c r="R357" s="71"/>
      <c r="S357" s="71"/>
      <c r="T357" s="71"/>
      <c r="U357" s="71"/>
    </row>
    <row r="358" spans="4:21" x14ac:dyDescent="0.3">
      <c r="D358" s="2" t="s">
        <v>286</v>
      </c>
      <c r="J358" s="103">
        <f>HistoricalData!T504</f>
      </c>
      <c r="K358" s="103">
        <f>HistoricalData!U504</f>
      </c>
      <c r="L358" s="103">
        <f t="shared" ref="L358:U358" si="330">L347+L351+L352</f>
      </c>
      <c r="M358" s="103">
        <f t="shared" si="330"/>
      </c>
      <c r="N358" s="103">
        <f t="shared" si="330"/>
      </c>
      <c r="O358" s="103">
        <f t="shared" si="330"/>
      </c>
      <c r="P358" s="103">
        <f t="shared" si="330"/>
      </c>
      <c r="Q358" s="103">
        <f t="shared" si="330"/>
      </c>
      <c r="R358" s="103">
        <f t="shared" si="330"/>
      </c>
      <c r="S358" s="103">
        <f t="shared" si="330"/>
      </c>
      <c r="T358" s="103">
        <f t="shared" si="330"/>
      </c>
      <c r="U358" s="103">
        <f t="shared" si="330"/>
      </c>
    </row>
    <row r="360" spans="4:21" x14ac:dyDescent="0.3">
      <c r="D360" s="2" t="s">
        <v>236</v>
      </c>
      <c r="J360" s="71">
        <f>HistoricalData!T506</f>
      </c>
      <c r="K360" s="71">
        <f>HistoricalData!U506</f>
      </c>
      <c r="L360" s="71">
        <f>K360+L194</f>
      </c>
      <c r="M360" s="71">
        <f t="shared" ref="M360:U360" si="331">L360+M194</f>
      </c>
      <c r="N360" s="71">
        <f t="shared" si="331"/>
      </c>
      <c r="O360" s="71">
        <f t="shared" si="331"/>
      </c>
      <c r="P360" s="71">
        <f t="shared" si="331"/>
      </c>
      <c r="Q360" s="71">
        <f t="shared" si="331"/>
      </c>
      <c r="R360" s="71">
        <f t="shared" si="331"/>
      </c>
      <c r="S360" s="71">
        <f t="shared" si="331"/>
      </c>
      <c r="T360" s="71">
        <f t="shared" si="331"/>
      </c>
      <c r="U360" s="71">
        <f t="shared" si="331"/>
      </c>
    </row>
    <row r="361" spans="4:21" x14ac:dyDescent="0.3">
      <c r="D361" s="2" t="s">
        <v>48</v>
      </c>
      <c r="J361" s="90">
        <f>HistoricalData!T507</f>
      </c>
      <c r="K361" s="90">
        <f>HistoricalData!U507</f>
      </c>
      <c r="L361" s="90">
        <f>L513</f>
      </c>
      <c r="M361" s="90">
        <f t="shared" ref="M361:U361" si="332">M513</f>
      </c>
      <c r="N361" s="90">
        <f t="shared" si="332"/>
      </c>
      <c r="O361" s="90">
        <f t="shared" si="332"/>
      </c>
      <c r="P361" s="90">
        <f t="shared" si="332"/>
      </c>
      <c r="Q361" s="90">
        <f t="shared" si="332"/>
      </c>
      <c r="R361" s="90">
        <f t="shared" si="332"/>
      </c>
      <c r="S361" s="90">
        <f t="shared" si="332"/>
      </c>
      <c r="T361" s="90">
        <f t="shared" si="332"/>
      </c>
      <c r="U361" s="90">
        <f t="shared" si="332"/>
      </c>
    </row>
    <row r="362" spans="4:21" x14ac:dyDescent="0.3">
      <c r="E362" t="s">
        <v>287</v>
      </c>
      <c r="J362" s="71">
        <f>HistoricalData!T508</f>
      </c>
      <c r="K362" s="71">
        <f>HistoricalData!U508</f>
      </c>
      <c r="L362" s="71"/>
      <c r="M362" s="71"/>
      <c r="N362" s="71"/>
      <c r="O362" s="71"/>
      <c r="P362" s="71"/>
      <c r="Q362" s="71"/>
      <c r="R362" s="71"/>
      <c r="S362" s="71"/>
      <c r="T362" s="71"/>
      <c r="U362" s="71"/>
    </row>
    <row r="363" spans="4:21" x14ac:dyDescent="0.3">
      <c r="E363" t="s">
        <v>284</v>
      </c>
      <c r="J363" s="71">
        <f>HistoricalData!T509</f>
      </c>
      <c r="K363" s="71">
        <f>HistoricalData!U509</f>
      </c>
      <c r="L363" s="71"/>
      <c r="M363" s="71"/>
      <c r="N363" s="71"/>
      <c r="O363" s="71"/>
      <c r="P363" s="71"/>
      <c r="Q363" s="71"/>
      <c r="R363" s="71"/>
      <c r="S363" s="71"/>
      <c r="T363" s="71"/>
      <c r="U363" s="71"/>
    </row>
    <row r="364" spans="4:21" x14ac:dyDescent="0.3">
      <c r="E364" t="s">
        <v>88</v>
      </c>
      <c r="J364" s="71">
        <f>HistoricalData!T510</f>
      </c>
      <c r="K364" s="71">
        <f>HistoricalData!U510</f>
      </c>
      <c r="L364" s="71"/>
      <c r="M364" s="71"/>
      <c r="N364" s="71"/>
      <c r="O364" s="71"/>
      <c r="P364" s="71"/>
      <c r="Q364" s="71"/>
      <c r="R364" s="71"/>
      <c r="S364" s="71"/>
      <c r="T364" s="71"/>
      <c r="U364" s="71"/>
    </row>
    <row r="365" spans="4:21" x14ac:dyDescent="0.3">
      <c r="E365" t="s">
        <v>99</v>
      </c>
      <c r="J365" s="71">
        <f>HistoricalData!T511</f>
      </c>
      <c r="K365" s="71">
        <f>HistoricalData!U511</f>
      </c>
      <c r="L365" s="71"/>
      <c r="M365" s="71"/>
      <c r="N365" s="71"/>
      <c r="O365" s="71"/>
      <c r="P365" s="71"/>
      <c r="Q365" s="71"/>
      <c r="R365" s="71"/>
      <c r="S365" s="71"/>
      <c r="T365" s="71"/>
      <c r="U365" s="71"/>
    </row>
    <row r="366" spans="4:21" x14ac:dyDescent="0.3">
      <c r="E366" t="s">
        <v>100</v>
      </c>
      <c r="J366" s="71">
        <f>HistoricalData!T512</f>
      </c>
      <c r="K366" s="71">
        <f>HistoricalData!U512</f>
      </c>
      <c r="L366" s="71"/>
      <c r="M366" s="71"/>
      <c r="N366" s="71"/>
      <c r="O366" s="71"/>
      <c r="P366" s="71"/>
      <c r="Q366" s="71"/>
      <c r="R366" s="71"/>
      <c r="S366" s="71"/>
      <c r="T366" s="71"/>
      <c r="U366" s="71"/>
    </row>
    <row r="367" spans="4:21" x14ac:dyDescent="0.3">
      <c r="E367" t="s">
        <v>89</v>
      </c>
      <c r="J367">
        <f>HistoricalData!T513</f>
      </c>
      <c r="K367">
        <f>HistoricalData!U513</f>
      </c>
    </row>
    <row r="368" spans="4:21" x14ac:dyDescent="0.3">
      <c r="D368" s="2" t="s">
        <v>288</v>
      </c>
      <c r="J368" s="103">
        <f>HistoricalData!T514</f>
      </c>
      <c r="K368" s="103">
        <f>HistoricalData!U514</f>
      </c>
      <c r="L368" s="103">
        <f t="shared" ref="L368:U368" si="333">L360+L361</f>
      </c>
      <c r="M368" s="103">
        <f t="shared" si="333"/>
      </c>
      <c r="N368" s="103">
        <f t="shared" si="333"/>
      </c>
      <c r="O368" s="103">
        <f t="shared" si="333"/>
      </c>
      <c r="P368" s="103">
        <f t="shared" si="333"/>
      </c>
      <c r="Q368" s="103">
        <f t="shared" si="333"/>
      </c>
      <c r="R368" s="103">
        <f t="shared" si="333"/>
      </c>
      <c r="S368" s="103">
        <f t="shared" si="333"/>
      </c>
      <c r="T368" s="103">
        <f t="shared" si="333"/>
      </c>
      <c r="U368" s="103">
        <f t="shared" si="333"/>
      </c>
    </row>
    <row r="369" spans="2:22" ht="3" customHeight="1" x14ac:dyDescent="0.3"/>
    <row r="370" spans="2:22" ht="18" x14ac:dyDescent="0.35">
      <c r="D370" s="24" t="s">
        <v>289</v>
      </c>
      <c r="J370" s="91">
        <f>HistoricalData!T516</f>
      </c>
      <c r="K370" s="91">
        <f>HistoricalData!U516</f>
      </c>
      <c r="L370" s="91">
        <f t="shared" ref="L370:U370" si="334">L368+L358</f>
      </c>
      <c r="M370" s="91">
        <f t="shared" si="334"/>
      </c>
      <c r="N370" s="91">
        <f t="shared" si="334"/>
      </c>
      <c r="O370" s="91">
        <f t="shared" si="334"/>
      </c>
      <c r="P370" s="91">
        <f t="shared" si="334"/>
      </c>
      <c r="Q370" s="91">
        <f t="shared" si="334"/>
      </c>
      <c r="R370" s="91">
        <f t="shared" si="334"/>
      </c>
      <c r="S370" s="91">
        <f t="shared" si="334"/>
      </c>
      <c r="T370" s="91">
        <f t="shared" si="334"/>
      </c>
      <c r="U370" s="91">
        <f t="shared" si="334"/>
      </c>
    </row>
    <row r="372" spans="2:22" x14ac:dyDescent="0.3">
      <c r="D372" t="s">
        <v>290</v>
      </c>
      <c r="J372" s="71">
        <f>HistoricalData!T518</f>
      </c>
      <c r="K372" s="71">
        <f>HistoricalData!U518</f>
      </c>
      <c r="L372" s="40">
        <f>L532</f>
      </c>
      <c r="M372" s="40">
        <f t="shared" ref="M372:U372" si="335">M532</f>
      </c>
      <c r="N372" s="40">
        <f t="shared" si="335"/>
      </c>
      <c r="O372" s="40">
        <f t="shared" si="335"/>
      </c>
      <c r="P372" s="40">
        <f t="shared" si="335"/>
      </c>
      <c r="Q372" s="40">
        <f t="shared" si="335"/>
      </c>
      <c r="R372" s="40">
        <f t="shared" si="335"/>
      </c>
      <c r="S372" s="40">
        <f t="shared" si="335"/>
      </c>
      <c r="T372" s="40">
        <f t="shared" si="335"/>
      </c>
      <c r="U372" s="40">
        <f t="shared" si="335"/>
      </c>
    </row>
    <row r="373" spans="2:22" x14ac:dyDescent="0.3">
      <c r="D373" s="2" t="s">
        <v>291</v>
      </c>
      <c r="J373" s="90">
        <f>HistoricalData!T519</f>
      </c>
      <c r="K373" s="90">
        <f>HistoricalData!U519</f>
      </c>
      <c r="L373" s="90">
        <f>L545</f>
      </c>
      <c r="M373" s="90">
        <f t="shared" ref="M373:U373" si="336">M545</f>
      </c>
      <c r="N373" s="90">
        <f t="shared" si="336"/>
      </c>
      <c r="O373" s="90">
        <f t="shared" si="336"/>
      </c>
      <c r="P373" s="90">
        <f t="shared" si="336"/>
      </c>
      <c r="Q373" s="90">
        <f t="shared" si="336"/>
      </c>
      <c r="R373" s="90">
        <f t="shared" si="336"/>
      </c>
      <c r="S373" s="90">
        <f t="shared" si="336"/>
      </c>
      <c r="T373" s="90">
        <f t="shared" si="336"/>
      </c>
      <c r="U373" s="90">
        <f t="shared" si="336"/>
      </c>
    </row>
    <row r="374" spans="2:22" x14ac:dyDescent="0.3">
      <c r="E374" t="s">
        <v>85</v>
      </c>
      <c r="J374" s="71">
        <f>HistoricalData!T520</f>
      </c>
      <c r="K374" s="71">
        <f>HistoricalData!U520</f>
      </c>
      <c r="L374" s="71"/>
      <c r="M374" s="71"/>
      <c r="N374" s="71"/>
      <c r="O374" s="71"/>
      <c r="P374" s="71"/>
      <c r="Q374" s="71"/>
      <c r="R374" s="71"/>
      <c r="S374" s="71"/>
      <c r="T374" s="71"/>
      <c r="U374" s="71"/>
    </row>
    <row r="375" spans="2:22" x14ac:dyDescent="0.3">
      <c r="E375" t="s">
        <v>98</v>
      </c>
      <c r="J375" s="71">
        <f>HistoricalData!T521</f>
      </c>
      <c r="K375" s="71">
        <f>HistoricalData!U521</f>
      </c>
      <c r="L375" s="71"/>
      <c r="M375" s="71"/>
      <c r="N375" s="71"/>
      <c r="O375" s="71"/>
      <c r="P375" s="71"/>
      <c r="Q375" s="71"/>
      <c r="R375" s="71"/>
      <c r="S375" s="71"/>
      <c r="T375" s="71"/>
      <c r="U375" s="71"/>
    </row>
    <row r="376" spans="2:22" ht="18" x14ac:dyDescent="0.35">
      <c r="D376" s="24" t="s">
        <v>292</v>
      </c>
      <c r="J376" s="103">
        <f>HistoricalData!T522</f>
      </c>
      <c r="K376" s="103">
        <f>HistoricalData!U522</f>
      </c>
      <c r="L376" s="103">
        <f t="shared" ref="L376:U376" si="337">L372+L373</f>
      </c>
      <c r="M376" s="103">
        <f t="shared" si="337"/>
      </c>
      <c r="N376" s="103">
        <f t="shared" si="337"/>
      </c>
      <c r="O376" s="103">
        <f t="shared" si="337"/>
      </c>
      <c r="P376" s="103">
        <f t="shared" si="337"/>
      </c>
      <c r="Q376" s="103">
        <f t="shared" si="337"/>
      </c>
      <c r="R376" s="103">
        <f t="shared" si="337"/>
      </c>
      <c r="S376" s="103">
        <f t="shared" si="337"/>
      </c>
      <c r="T376" s="103">
        <f t="shared" si="337"/>
      </c>
      <c r="U376" s="103">
        <f t="shared" si="337"/>
      </c>
    </row>
    <row r="378" spans="2:22" ht="18.600000000000001" thickBot="1" x14ac:dyDescent="0.4">
      <c r="C378" s="24" t="s">
        <v>293</v>
      </c>
      <c r="J378" s="104">
        <f>HistoricalData!T524</f>
      </c>
      <c r="K378" s="104">
        <f>HistoricalData!U524</f>
      </c>
      <c r="L378" s="104">
        <f t="shared" ref="L378:U378" si="338">L370+L376</f>
      </c>
      <c r="M378" s="104">
        <f t="shared" si="338"/>
      </c>
      <c r="N378" s="104">
        <f t="shared" si="338"/>
      </c>
      <c r="O378" s="104">
        <f t="shared" si="338"/>
      </c>
      <c r="P378" s="104">
        <f t="shared" si="338"/>
      </c>
      <c r="Q378" s="104">
        <f t="shared" si="338"/>
      </c>
      <c r="R378" s="104">
        <f t="shared" si="338"/>
      </c>
      <c r="S378" s="104">
        <f t="shared" si="338"/>
      </c>
      <c r="T378" s="104">
        <f t="shared" si="338"/>
      </c>
      <c r="U378" s="104">
        <f t="shared" si="338"/>
      </c>
    </row>
    <row r="379" spans="2:22" ht="15" thickTop="1" x14ac:dyDescent="0.3">
      <c r="E379" s="78" t="s">
        <v>294</v>
      </c>
      <c r="J379" s="105">
        <f t="shared" ref="J379:U379" si="339">ROUND(J378-J334, 3)</f>
      </c>
      <c r="K379" s="105">
        <f t="shared" si="339"/>
      </c>
      <c r="L379" s="105">
        <f t="shared" si="339"/>
      </c>
      <c r="M379" s="105">
        <f t="shared" si="339"/>
      </c>
      <c r="N379" s="105">
        <f t="shared" si="339"/>
      </c>
      <c r="O379" s="105">
        <f t="shared" si="339"/>
      </c>
      <c r="P379" s="105">
        <f t="shared" si="339"/>
      </c>
      <c r="Q379" s="105">
        <f t="shared" si="339"/>
      </c>
      <c r="R379" s="105">
        <f t="shared" si="339"/>
      </c>
      <c r="S379" s="105">
        <f t="shared" si="339"/>
      </c>
      <c r="T379" s="105">
        <f t="shared" si="339"/>
      </c>
      <c r="U379" s="105">
        <f t="shared" si="339"/>
      </c>
    </row>
    <row r="382" spans="2:22" x14ac:dyDescent="0.3">
      <c r="U382" s="227" t="str">
        <f>$U$2</f>
      </c>
    </row>
    <row r="383" spans="2:22" ht="18" x14ac:dyDescent="0.35">
      <c r="B383" s="148" t="str">
        <f>'Assumptions&amp;Scenario'!$K$10</f>
      </c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</row>
    <row r="384" spans="2:22" ht="18" thickBot="1" x14ac:dyDescent="0.35">
      <c r="B384" s="47" t="s">
        <v>412</v>
      </c>
      <c r="C384" s="48"/>
      <c r="D384" s="48"/>
      <c r="E384" s="48"/>
      <c r="F384" s="48"/>
      <c r="G384" s="48"/>
      <c r="H384" s="49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</row>
    <row r="385" spans="3:21" ht="15" thickBot="1" x14ac:dyDescent="0.35">
      <c r="C385" s="2"/>
      <c r="D385" s="2"/>
      <c r="E385" s="2"/>
      <c r="F385" s="2"/>
      <c r="L385" s="42" t="s">
        <v>141</v>
      </c>
      <c r="M385" s="42"/>
      <c r="N385" s="42"/>
      <c r="O385" s="42"/>
      <c r="P385" s="42"/>
      <c r="Q385" s="42"/>
      <c r="R385" s="42"/>
      <c r="S385" s="42"/>
      <c r="T385" s="42"/>
      <c r="U385" s="42"/>
    </row>
    <row r="386" spans="3:21" ht="16.2" thickTop="1" x14ac:dyDescent="0.3">
      <c r="C386" s="43" t="s">
        <v>389</v>
      </c>
      <c r="D386" s="43"/>
      <c r="E386" s="43"/>
      <c r="F386" s="43"/>
      <c r="G386" s="43"/>
      <c r="H386" s="44"/>
      <c r="I386" s="44"/>
      <c r="J386" s="44" t="str">
        <f>"FY"&amp;TEXT(RIGHT(K386,2)-(COLUMN(K386)-COLUMN()),"00")</f>
      </c>
      <c r="K386" s="44" t="str">
        <f>"FY"&amp;TEXT(DATE(YEAR('Data Sheet'!$K$16)+(MONTH('Data Sheet'!$K$16)&gt;3),1,1),"YY")</f>
      </c>
      <c r="L386" s="44" t="str">
        <f t="shared" ref="L386" si="340">"FY"&amp;TEXT(RIGHT(K386,2)+COLUMN()-COLUMN(K386),"00")</f>
      </c>
      <c r="M386" s="44" t="str">
        <f t="shared" ref="M386" si="341">"FY"&amp;TEXT(RIGHT(L386,2)+COLUMN()-COLUMN(L386),"00")</f>
      </c>
      <c r="N386" s="44" t="str">
        <f t="shared" ref="N386" si="342">"FY"&amp;TEXT(RIGHT(M386,2)+COLUMN()-COLUMN(M386),"00")</f>
      </c>
      <c r="O386" s="44" t="str">
        <f t="shared" ref="O386" si="343">"FY"&amp;TEXT(RIGHT(N386,2)+COLUMN()-COLUMN(N386),"00")</f>
      </c>
      <c r="P386" s="44" t="str">
        <f t="shared" ref="P386" si="344">"FY"&amp;TEXT(RIGHT(O386,2)+COLUMN()-COLUMN(O386),"00")</f>
      </c>
      <c r="Q386" s="44" t="str">
        <f t="shared" ref="Q386" si="345">"FY"&amp;TEXT(RIGHT(P386,2)+COLUMN()-COLUMN(P386),"00")</f>
      </c>
      <c r="R386" s="44" t="str">
        <f t="shared" ref="R386" si="346">"FY"&amp;TEXT(RIGHT(Q386,2)+COLUMN()-COLUMN(Q386),"00")</f>
      </c>
      <c r="S386" s="44" t="str">
        <f t="shared" ref="S386" si="347">"FY"&amp;TEXT(RIGHT(R386,2)+COLUMN()-COLUMN(R386),"00")</f>
      </c>
      <c r="T386" s="44" t="str">
        <f t="shared" ref="T386" si="348">"FY"&amp;TEXT(RIGHT(S386,2)+COLUMN()-COLUMN(S386),"00")</f>
      </c>
      <c r="U386" s="44" t="str">
        <f t="shared" ref="U386" si="349">"FY"&amp;TEXT(RIGHT(T386,2)+COLUMN()-COLUMN(T386),"00")</f>
      </c>
    </row>
    <row r="387" spans="3:21" ht="3" customHeight="1" x14ac:dyDescent="0.3"/>
    <row r="388" spans="3:21" ht="3" customHeight="1" x14ac:dyDescent="0.3"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3:21" ht="3" customHeight="1" x14ac:dyDescent="0.3"/>
    <row r="391" spans="3:21" x14ac:dyDescent="0.3">
      <c r="C391" s="121" t="s">
        <v>413</v>
      </c>
      <c r="D391" s="113"/>
      <c r="E391" s="113"/>
      <c r="F391" s="113"/>
      <c r="G391" s="113"/>
      <c r="H391" s="170"/>
    </row>
    <row r="392" spans="3:21" x14ac:dyDescent="0.3">
      <c r="C392" s="137"/>
      <c r="D392" t="s">
        <v>414</v>
      </c>
      <c r="H392" s="176">
        <f>'Assumptions&amp;Scenario'!U36</f>
      </c>
    </row>
    <row r="393" spans="3:21" x14ac:dyDescent="0.3">
      <c r="C393" s="118" t="s">
        <v>415</v>
      </c>
      <c r="H393" s="143"/>
    </row>
    <row r="394" spans="3:21" x14ac:dyDescent="0.3">
      <c r="C394" s="177"/>
      <c r="D394" s="120" t="s">
        <v>416</v>
      </c>
      <c r="E394" s="120"/>
      <c r="F394" s="120"/>
      <c r="G394" s="120"/>
      <c r="H394" s="178">
        <f>'Assumptions&amp;Scenario'!U37</f>
      </c>
    </row>
    <row r="395" spans="3:21" x14ac:dyDescent="0.3">
      <c r="H395" s="77" t="str">
        <f>$H$23</f>
      </c>
    </row>
    <row r="396" spans="3:21" ht="18" x14ac:dyDescent="0.35">
      <c r="C396" s="24" t="s">
        <v>417</v>
      </c>
      <c r="L396" s="182">
        <f>IFERROR(MIN($K321/$H$392, $K321-SUM($K396:K396)), 0)</f>
      </c>
      <c r="M396" s="182">
        <f>IFERROR(MIN($K321/$H$392, $K321-SUM($K396:L396)), 0)</f>
      </c>
      <c r="N396" s="182">
        <f>IFERROR(MIN($K321/$H$392, $K321-SUM($K396:M396)), 0)</f>
      </c>
      <c r="O396" s="182">
        <f>IFERROR(MIN($K321/$H$392, $K321-SUM($K396:N396)), 0)</f>
      </c>
      <c r="P396" s="182">
        <f>IFERROR(MIN($K321/$H$392, $K321-SUM($K396:O396)), 0)</f>
      </c>
      <c r="Q396" s="182">
        <f>IFERROR(MIN($K321/$H$392, $K321-SUM($K396:P396)), 0)</f>
      </c>
      <c r="R396" s="182">
        <f>IFERROR(MIN($K321/$H$392, $K321-SUM($K396:Q396)), 0)</f>
      </c>
      <c r="S396" s="182">
        <f>IFERROR(MIN($K321/$H$392, $K321-SUM($K396:R396)), 0)</f>
      </c>
      <c r="T396" s="182">
        <f>IFERROR(MIN($K321/$H$392, $K321-SUM($K396:S396)), 0)</f>
      </c>
      <c r="U396" s="182">
        <f>IFERROR(MIN($K321/$H$392, $K321-SUM($K396:T396)), 0)</f>
      </c>
    </row>
    <row r="398" spans="3:21" ht="18" x14ac:dyDescent="0.35">
      <c r="D398" s="24" t="s">
        <v>418</v>
      </c>
      <c r="H398" s="77" t="str">
        <f>$H$23</f>
      </c>
    </row>
    <row r="399" spans="3:21" x14ac:dyDescent="0.3">
      <c r="D399" t="str" cm="1">
        <f t="array" ref="D399:D408">TRANSPOSE(L386:U386)</f>
      </c>
      <c r="F399" s="179" cm="1">
        <f t="array" ref="F399:F408">-TRANSPOSE(L275:U275)</f>
      </c>
      <c r="L399" s="40">
        <f>IFERROR(IF($D399=L$386,($F399/$H$394)/2,MIN($F399/$H$394,$F399-SUM($K399:K399))), 0)</f>
      </c>
      <c r="M399" s="40">
        <f>IFERROR(IF($D399=M$386,($F399/$H$394)/2,MIN($F399/$H$394,$F399-SUM($K399:L399))), 0)</f>
      </c>
      <c r="N399" s="40">
        <f>IFERROR(IF($D399=N$386,($F399/$H$394)/2,MIN($F399/$H$394,$F399-SUM($K399:M399))), 0)</f>
      </c>
      <c r="O399" s="40">
        <f>IFERROR(IF($D399=O$386,($F399/$H$394)/2,MIN($F399/$H$394,$F399-SUM($K399:N399))), 0)</f>
      </c>
      <c r="P399" s="40">
        <f>IFERROR(IF($D399=P$386,($F399/$H$394)/2,MIN($F399/$H$394,$F399-SUM($K399:O399))), 0)</f>
      </c>
      <c r="Q399" s="40">
        <f>IFERROR(IF($D399=Q$386,($F399/$H$394)/2,MIN($F399/$H$394,$F399-SUM($K399:P399))), 0)</f>
      </c>
      <c r="R399" s="40">
        <f>IFERROR(IF($D399=R$386,($F399/$H$394)/2,MIN($F399/$H$394,$F399-SUM($K399:Q399))), 0)</f>
      </c>
      <c r="S399" s="40">
        <f>IFERROR(IF($D399=S$386,($F399/$H$394)/2,MIN($F399/$H$394,$F399-SUM($K399:R399))), 0)</f>
      </c>
      <c r="T399" s="40">
        <f>IFERROR(IF($D399=T$386,($F399/$H$394)/2,MIN($F399/$H$394,$F399-SUM($K399:S399))), 0)</f>
      </c>
      <c r="U399" s="40">
        <f>IFERROR(IF($D399=U$386,($F399/$H$394)/2,MIN($F399/$H$394,$F399-SUM($K399:T399))), 0)</f>
      </c>
    </row>
    <row r="400" spans="3:21" x14ac:dyDescent="0.3">
      <c r="D400" t="str">
        <v>FY27</v>
      </c>
      <c r="F400" s="180">
        <v>-4664.2060606060586</v>
      </c>
      <c r="M400" s="40">
        <f>IFERROR(IF($D400=M$386,($F400/$H$394)/2,MIN($F400/$H$394,$F400-SUM($K400:L400))), 0)</f>
      </c>
      <c r="N400" s="40">
        <f>IFERROR(IF($D400=N$386,($F400/$H$394)/2,MIN($F400/$H$394,$F400-SUM($K400:M400))), 0)</f>
      </c>
      <c r="O400" s="40">
        <f>IFERROR(IF($D400=O$386,($F400/$H$394)/2,MIN($F400/$H$394,$F400-SUM($K400:N400))), 0)</f>
      </c>
      <c r="P400" s="40">
        <f>IFERROR(IF($D400=P$386,($F400/$H$394)/2,MIN($F400/$H$394,$F400-SUM($K400:O400))), 0)</f>
      </c>
      <c r="Q400" s="40">
        <f>IFERROR(IF($D400=Q$386,($F400/$H$394)/2,MIN($F400/$H$394,$F400-SUM($K400:P400))), 0)</f>
      </c>
      <c r="R400" s="40">
        <f>IFERROR(IF($D400=R$386,($F400/$H$394)/2,MIN($F400/$H$394,$F400-SUM($K400:Q400))), 0)</f>
      </c>
      <c r="S400" s="40">
        <f>IFERROR(IF($D400=S$386,($F400/$H$394)/2,MIN($F400/$H$394,$F400-SUM($K400:R400))), 0)</f>
      </c>
      <c r="T400" s="40">
        <f>IFERROR(IF($D400=T$386,($F400/$H$394)/2,MIN($F400/$H$394,$F400-SUM($K400:S400))), 0)</f>
      </c>
      <c r="U400" s="40">
        <f>IFERROR(IF($D400=U$386,($F400/$H$394)/2,MIN($F400/$H$394,$F400-SUM($K400:T400))), 0)</f>
      </c>
    </row>
    <row r="401" spans="2:22" x14ac:dyDescent="0.3">
      <c r="D401" t="str">
        <v>FY28</v>
      </c>
      <c r="F401" s="180">
        <v>-5572.3454545454515</v>
      </c>
      <c r="N401" s="40">
        <f>IFERROR(IF($D401=N$386,($F401/$H$394)/2,MIN($F401/$H$394,$F401-SUM($K401:M401))), 0)</f>
      </c>
      <c r="O401" s="40">
        <f>IFERROR(IF($D401=O$386,($F401/$H$394)/2,MIN($F401/$H$394,$F401-SUM($K401:N401))), 0)</f>
      </c>
      <c r="P401" s="40">
        <f>IFERROR(IF($D401=P$386,($F401/$H$394)/2,MIN($F401/$H$394,$F401-SUM($K401:O401))), 0)</f>
      </c>
      <c r="Q401" s="40">
        <f>IFERROR(IF($D401=Q$386,($F401/$H$394)/2,MIN($F401/$H$394,$F401-SUM($K401:P401))), 0)</f>
      </c>
      <c r="R401" s="40">
        <f>IFERROR(IF($D401=R$386,($F401/$H$394)/2,MIN($F401/$H$394,$F401-SUM($K401:Q401))), 0)</f>
      </c>
      <c r="S401" s="40">
        <f>IFERROR(IF($D401=S$386,($F401/$H$394)/2,MIN($F401/$H$394,$F401-SUM($K401:R401))), 0)</f>
      </c>
      <c r="T401" s="40">
        <f>IFERROR(IF($D401=T$386,($F401/$H$394)/2,MIN($F401/$H$394,$F401-SUM($K401:S401))), 0)</f>
      </c>
      <c r="U401" s="40">
        <f>IFERROR(IF($D401=U$386,($F401/$H$394)/2,MIN($F401/$H$394,$F401-SUM($K401:T401))), 0)</f>
      </c>
    </row>
    <row r="402" spans="2:22" x14ac:dyDescent="0.3">
      <c r="D402" t="str">
        <v>FY29</v>
      </c>
      <c r="F402" s="180">
        <v>-6480.4848484848444</v>
      </c>
      <c r="O402" s="40">
        <f>IFERROR(IF($D402=O$386,($F402/$H$394)/2,MIN($F402/$H$394,$F402-SUM($K402:N402))), 0)</f>
      </c>
      <c r="P402" s="40">
        <f>IFERROR(IF($D402=P$386,($F402/$H$394)/2,MIN($F402/$H$394,$F402-SUM($K402:O402))), 0)</f>
      </c>
      <c r="Q402" s="40">
        <f>IFERROR(IF($D402=Q$386,($F402/$H$394)/2,MIN($F402/$H$394,$F402-SUM($K402:P402))), 0)</f>
      </c>
      <c r="R402" s="40">
        <f>IFERROR(IF($D402=R$386,($F402/$H$394)/2,MIN($F402/$H$394,$F402-SUM($K402:Q402))), 0)</f>
      </c>
      <c r="S402" s="40">
        <f>IFERROR(IF($D402=S$386,($F402/$H$394)/2,MIN($F402/$H$394,$F402-SUM($K402:R402))), 0)</f>
      </c>
      <c r="T402" s="40">
        <f>IFERROR(IF($D402=T$386,($F402/$H$394)/2,MIN($F402/$H$394,$F402-SUM($K402:S402))), 0)</f>
      </c>
      <c r="U402" s="40">
        <f>IFERROR(IF($D402=U$386,($F402/$H$394)/2,MIN($F402/$H$394,$F402-SUM($K402:T402))), 0)</f>
      </c>
    </row>
    <row r="403" spans="2:22" x14ac:dyDescent="0.3">
      <c r="D403" t="str">
        <v>FY30</v>
      </c>
      <c r="F403" s="180">
        <v>-7388.6242424242409</v>
      </c>
      <c r="P403" s="40">
        <f>IFERROR(IF($D403=P$386,($F403/$H$394)/2,MIN($F403/$H$394,$F403-SUM($K403:O403))), 0)</f>
      </c>
      <c r="Q403" s="40">
        <f>IFERROR(IF($D403=Q$386,($F403/$H$394)/2,MIN($F403/$H$394,$F403-SUM($K403:P403))), 0)</f>
      </c>
      <c r="R403" s="40">
        <f>IFERROR(IF($D403=R$386,($F403/$H$394)/2,MIN($F403/$H$394,$F403-SUM($K403:Q403))), 0)</f>
      </c>
      <c r="S403" s="40">
        <f>IFERROR(IF($D403=S$386,($F403/$H$394)/2,MIN($F403/$H$394,$F403-SUM($K403:R403))), 0)</f>
      </c>
      <c r="T403" s="40">
        <f>IFERROR(IF($D403=T$386,($F403/$H$394)/2,MIN($F403/$H$394,$F403-SUM($K403:S403))), 0)</f>
      </c>
      <c r="U403" s="40">
        <f>IFERROR(IF($D403=U$386,($F403/$H$394)/2,MIN($F403/$H$394,$F403-SUM($K403:T403))), 0)</f>
      </c>
    </row>
    <row r="404" spans="2:22" x14ac:dyDescent="0.3">
      <c r="D404" t="str">
        <v>FY31</v>
      </c>
      <c r="F404" s="180">
        <v>-8296.7636363636339</v>
      </c>
      <c r="Q404" s="40">
        <f>IFERROR(IF($D404=Q$386,($F404/$H$394)/2,MIN($F404/$H$394,$F404-SUM($K404:P404))), 0)</f>
      </c>
      <c r="R404" s="40">
        <f>IFERROR(IF($D404=R$386,($F404/$H$394)/2,MIN($F404/$H$394,$F404-SUM($K404:Q404))), 0)</f>
      </c>
      <c r="S404" s="40">
        <f>IFERROR(IF($D404=S$386,($F404/$H$394)/2,MIN($F404/$H$394,$F404-SUM($K404:R404))), 0)</f>
      </c>
      <c r="T404" s="40">
        <f>IFERROR(IF($D404=T$386,($F404/$H$394)/2,MIN($F404/$H$394,$F404-SUM($K404:S404))), 0)</f>
      </c>
      <c r="U404" s="40">
        <f>IFERROR(IF($D404=U$386,($F404/$H$394)/2,MIN($F404/$H$394,$F404-SUM($K404:T404))), 0)</f>
      </c>
    </row>
    <row r="405" spans="2:22" x14ac:dyDescent="0.3">
      <c r="D405" t="str">
        <v>FY32</v>
      </c>
      <c r="F405" s="180">
        <v>-9204.9030303030268</v>
      </c>
      <c r="R405" s="40">
        <f>IFERROR(IF($D405=R$386,($F405/$H$394)/2,MIN($F405/$H$394,$F405-SUM($K405:Q405))), 0)</f>
      </c>
      <c r="S405" s="40">
        <f>IFERROR(IF($D405=S$386,($F405/$H$394)/2,MIN($F405/$H$394,$F405-SUM($K405:R405))), 0)</f>
      </c>
      <c r="T405" s="40">
        <f>IFERROR(IF($D405=T$386,($F405/$H$394)/2,MIN($F405/$H$394,$F405-SUM($K405:S405))), 0)</f>
      </c>
      <c r="U405" s="40">
        <f>IFERROR(IF($D405=U$386,($F405/$H$394)/2,MIN($F405/$H$394,$F405-SUM($K405:T405))), 0)</f>
      </c>
    </row>
    <row r="406" spans="2:22" x14ac:dyDescent="0.3">
      <c r="D406" t="str">
        <v>FY33</v>
      </c>
      <c r="F406" s="180">
        <v>-10113.04242424242</v>
      </c>
      <c r="S406" s="40">
        <f>IFERROR(IF($D406=S$386,($F406/$H$394)/2,MIN($F406/$H$394,$F406-SUM($K406:R406))), 0)</f>
      </c>
      <c r="T406" s="40">
        <f>IFERROR(IF($D406=T$386,($F406/$H$394)/2,MIN($F406/$H$394,$F406-SUM($K406:S406))), 0)</f>
      </c>
      <c r="U406" s="40">
        <f>IFERROR(IF($D406=U$386,($F406/$H$394)/2,MIN($F406/$H$394,$F406-SUM($K406:T406))), 0)</f>
      </c>
    </row>
    <row r="407" spans="2:22" x14ac:dyDescent="0.3">
      <c r="D407" t="str">
        <v>FY34</v>
      </c>
      <c r="F407" s="180">
        <v>-11021.181818181813</v>
      </c>
      <c r="T407" s="40">
        <f>IFERROR(IF($D407=T$386,($F407/$H$394)/2,MIN($F407/$H$394,$F407-SUM($K407:S407))), 0)</f>
      </c>
      <c r="U407" s="40">
        <f>IFERROR(IF($D407=U$386,($F407/$H$394)/2,MIN($F407/$H$394,$F407-SUM($K407:T407))), 0)</f>
      </c>
    </row>
    <row r="408" spans="2:22" x14ac:dyDescent="0.3">
      <c r="D408" t="str">
        <v>FY35</v>
      </c>
      <c r="F408" s="181">
        <v>-11929.321212121209</v>
      </c>
      <c r="U408" s="40">
        <f>IFERROR(IF($D408=U$386,($F408/$H$394)/2,MIN($F408/$H$394,$F408-SUM($K408:T408))), 0)</f>
      </c>
    </row>
    <row r="410" spans="2:22" ht="18" x14ac:dyDescent="0.35">
      <c r="C410" s="24" t="s">
        <v>419</v>
      </c>
      <c r="H410" s="77" t="str">
        <f>$H$23</f>
      </c>
      <c r="L410" s="183">
        <f>L396+SUM(L399:L408)</f>
      </c>
      <c r="M410" s="183">
        <f t="shared" ref="M410:U410" si="350">M396+SUM(M399:M408)</f>
      </c>
      <c r="N410" s="183">
        <f t="shared" si="350"/>
      </c>
      <c r="O410" s="183">
        <f t="shared" si="350"/>
      </c>
      <c r="P410" s="183">
        <f t="shared" si="350"/>
      </c>
      <c r="Q410" s="183">
        <f t="shared" si="350"/>
      </c>
      <c r="R410" s="183">
        <f t="shared" si="350"/>
      </c>
      <c r="S410" s="183">
        <f t="shared" si="350"/>
      </c>
      <c r="T410" s="183">
        <f t="shared" si="350"/>
      </c>
      <c r="U410" s="183">
        <f t="shared" si="350"/>
      </c>
    </row>
    <row r="413" spans="2:22" x14ac:dyDescent="0.3">
      <c r="U413" s="227" t="str">
        <f>$U$2</f>
      </c>
    </row>
    <row r="414" spans="2:22" ht="18" x14ac:dyDescent="0.35">
      <c r="B414" s="148" t="str">
        <f>'Assumptions&amp;Scenario'!$K$10</f>
      </c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</row>
    <row r="415" spans="2:22" ht="18" thickBot="1" x14ac:dyDescent="0.35">
      <c r="B415" s="47" t="s">
        <v>420</v>
      </c>
      <c r="C415" s="48"/>
      <c r="D415" s="48"/>
      <c r="E415" s="48"/>
      <c r="F415" s="48"/>
      <c r="G415" s="48"/>
      <c r="H415" s="49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</row>
    <row r="416" spans="2:22" ht="15" thickBot="1" x14ac:dyDescent="0.35">
      <c r="C416" s="2"/>
      <c r="D416" s="2"/>
      <c r="E416" s="2"/>
      <c r="F416" s="2"/>
      <c r="L416" s="42" t="s">
        <v>141</v>
      </c>
      <c r="M416" s="42"/>
      <c r="N416" s="42"/>
      <c r="O416" s="42"/>
      <c r="P416" s="42"/>
      <c r="Q416" s="42"/>
      <c r="R416" s="42"/>
      <c r="S416" s="42"/>
      <c r="T416" s="42"/>
      <c r="U416" s="42"/>
    </row>
    <row r="417" spans="3:21" ht="16.2" thickTop="1" x14ac:dyDescent="0.3">
      <c r="C417" s="43" t="s">
        <v>389</v>
      </c>
      <c r="D417" s="43"/>
      <c r="E417" s="43"/>
      <c r="F417" s="43"/>
      <c r="G417" s="43"/>
      <c r="H417" s="44"/>
      <c r="I417" s="44"/>
      <c r="J417" s="44" t="str">
        <f>"FY"&amp;TEXT(RIGHT(K417,2)-(COLUMN(K417)-COLUMN()),"00")</f>
      </c>
      <c r="K417" s="44" t="str">
        <f>"FY"&amp;TEXT(DATE(YEAR('Data Sheet'!$K$16)+(MONTH('Data Sheet'!$K$16)&gt;3),1,1),"YY")</f>
      </c>
      <c r="L417" s="44" t="str">
        <f t="shared" ref="L417" si="351">"FY"&amp;TEXT(RIGHT(K417,2)+COLUMN()-COLUMN(K417),"00")</f>
      </c>
      <c r="M417" s="44" t="str">
        <f t="shared" ref="M417" si="352">"FY"&amp;TEXT(RIGHT(L417,2)+COLUMN()-COLUMN(L417),"00")</f>
      </c>
      <c r="N417" s="44" t="str">
        <f t="shared" ref="N417" si="353">"FY"&amp;TEXT(RIGHT(M417,2)+COLUMN()-COLUMN(M417),"00")</f>
      </c>
      <c r="O417" s="44" t="str">
        <f t="shared" ref="O417" si="354">"FY"&amp;TEXT(RIGHT(N417,2)+COLUMN()-COLUMN(N417),"00")</f>
      </c>
      <c r="P417" s="44" t="str">
        <f t="shared" ref="P417" si="355">"FY"&amp;TEXT(RIGHT(O417,2)+COLUMN()-COLUMN(O417),"00")</f>
      </c>
      <c r="Q417" s="44" t="str">
        <f t="shared" ref="Q417" si="356">"FY"&amp;TEXT(RIGHT(P417,2)+COLUMN()-COLUMN(P417),"00")</f>
      </c>
      <c r="R417" s="44" t="str">
        <f t="shared" ref="R417" si="357">"FY"&amp;TEXT(RIGHT(Q417,2)+COLUMN()-COLUMN(Q417),"00")</f>
      </c>
      <c r="S417" s="44" t="str">
        <f t="shared" ref="S417" si="358">"FY"&amp;TEXT(RIGHT(R417,2)+COLUMN()-COLUMN(R417),"00")</f>
      </c>
      <c r="T417" s="44" t="str">
        <f t="shared" ref="T417" si="359">"FY"&amp;TEXT(RIGHT(S417,2)+COLUMN()-COLUMN(S417),"00")</f>
      </c>
      <c r="U417" s="44" t="str">
        <f t="shared" ref="U417" si="360">"FY"&amp;TEXT(RIGHT(T417,2)+COLUMN()-COLUMN(T417),"00")</f>
      </c>
    </row>
    <row r="418" spans="3:21" ht="3" customHeight="1" x14ac:dyDescent="0.3"/>
    <row r="419" spans="3:21" ht="3" customHeight="1" x14ac:dyDescent="0.3"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3:21" ht="3" customHeight="1" x14ac:dyDescent="0.3"/>
    <row r="422" spans="3:21" ht="18" x14ac:dyDescent="0.35">
      <c r="C422" s="24" t="s">
        <v>132</v>
      </c>
      <c r="H422" s="184"/>
      <c r="L422" s="184">
        <f>'Assumptions&amp;Scenario'!L201</f>
      </c>
      <c r="M422" s="184">
        <f>'Assumptions&amp;Scenario'!M201</f>
      </c>
      <c r="N422" s="184">
        <f>'Assumptions&amp;Scenario'!N201</f>
      </c>
      <c r="O422" s="184">
        <f>'Assumptions&amp;Scenario'!O201</f>
      </c>
      <c r="P422" s="184">
        <f>'Assumptions&amp;Scenario'!P201</f>
      </c>
      <c r="Q422" s="184">
        <f>'Assumptions&amp;Scenario'!Q201</f>
      </c>
      <c r="R422" s="184">
        <f>'Assumptions&amp;Scenario'!R201</f>
      </c>
      <c r="S422" s="184">
        <f>'Assumptions&amp;Scenario'!S201</f>
      </c>
      <c r="T422" s="184">
        <f>'Assumptions&amp;Scenario'!T201</f>
      </c>
      <c r="U422" s="184">
        <f>'Assumptions&amp;Scenario'!U201</f>
      </c>
    </row>
    <row r="423" spans="3:21" x14ac:dyDescent="0.3">
      <c r="H423" s="77" t="str">
        <f>$H$23</f>
      </c>
    </row>
    <row r="424" spans="3:21" ht="18" x14ac:dyDescent="0.35">
      <c r="C424" s="24" t="s">
        <v>421</v>
      </c>
      <c r="I424" s="2" t="s">
        <v>422</v>
      </c>
      <c r="L424" s="185">
        <f>L189</f>
      </c>
      <c r="M424" s="185">
        <f t="shared" ref="M424:U424" si="361">M189</f>
      </c>
      <c r="N424" s="185">
        <f t="shared" si="361"/>
      </c>
      <c r="O424" s="185">
        <f t="shared" si="361"/>
      </c>
      <c r="P424" s="185">
        <f t="shared" si="361"/>
      </c>
      <c r="Q424" s="185">
        <f t="shared" si="361"/>
      </c>
      <c r="R424" s="185">
        <f t="shared" si="361"/>
      </c>
      <c r="S424" s="185">
        <f t="shared" si="361"/>
      </c>
      <c r="T424" s="185">
        <f t="shared" si="361"/>
      </c>
      <c r="U424" s="185">
        <f t="shared" si="361"/>
      </c>
    </row>
    <row r="426" spans="3:21" x14ac:dyDescent="0.3">
      <c r="C426" t="s">
        <v>423</v>
      </c>
      <c r="L426" s="151">
        <f>'Assumptions&amp;Scenario'!L65</f>
      </c>
      <c r="M426" s="151">
        <f>'Assumptions&amp;Scenario'!M65</f>
      </c>
      <c r="N426" s="151">
        <f>'Assumptions&amp;Scenario'!N65</f>
      </c>
      <c r="O426" s="151">
        <f>'Assumptions&amp;Scenario'!O65</f>
      </c>
      <c r="P426" s="151">
        <f>'Assumptions&amp;Scenario'!P65</f>
      </c>
      <c r="Q426" s="151">
        <f>'Assumptions&amp;Scenario'!Q65</f>
      </c>
      <c r="R426" s="151">
        <f>'Assumptions&amp;Scenario'!R65</f>
      </c>
      <c r="S426" s="151">
        <f>'Assumptions&amp;Scenario'!S65</f>
      </c>
      <c r="T426" s="151">
        <f>'Assumptions&amp;Scenario'!T65</f>
      </c>
      <c r="U426" s="151">
        <f>'Assumptions&amp;Scenario'!U65</f>
      </c>
    </row>
    <row r="427" spans="3:21" ht="18" x14ac:dyDescent="0.35">
      <c r="C427" s="24" t="s">
        <v>448</v>
      </c>
      <c r="I427" s="2" t="s">
        <v>424</v>
      </c>
      <c r="L427" s="186">
        <f t="shared" ref="L427:U427" si="362">L424-L426</f>
      </c>
      <c r="M427" s="186">
        <f t="shared" si="362"/>
      </c>
      <c r="N427" s="186">
        <f t="shared" si="362"/>
      </c>
      <c r="O427" s="186">
        <f t="shared" si="362"/>
      </c>
      <c r="P427" s="186">
        <f t="shared" si="362"/>
      </c>
      <c r="Q427" s="186">
        <f t="shared" si="362"/>
      </c>
      <c r="R427" s="186">
        <f t="shared" si="362"/>
      </c>
      <c r="S427" s="186">
        <f t="shared" si="362"/>
      </c>
      <c r="T427" s="186">
        <f t="shared" si="362"/>
      </c>
      <c r="U427" s="186">
        <f t="shared" si="362"/>
      </c>
    </row>
    <row r="429" spans="3:21" x14ac:dyDescent="0.3">
      <c r="C429" t="s">
        <v>425</v>
      </c>
      <c r="L429" s="40">
        <f t="shared" ref="L429:U429" si="363">L424*L422</f>
      </c>
      <c r="M429" s="40">
        <f t="shared" si="363"/>
      </c>
      <c r="N429" s="40">
        <f t="shared" si="363"/>
      </c>
      <c r="O429" s="40">
        <f t="shared" si="363"/>
      </c>
      <c r="P429" s="40">
        <f t="shared" si="363"/>
      </c>
      <c r="Q429" s="40">
        <f t="shared" si="363"/>
      </c>
      <c r="R429" s="40">
        <f t="shared" si="363"/>
      </c>
      <c r="S429" s="40">
        <f t="shared" si="363"/>
      </c>
      <c r="T429" s="40">
        <f t="shared" si="363"/>
      </c>
      <c r="U429" s="40">
        <f t="shared" si="363"/>
      </c>
    </row>
    <row r="431" spans="3:21" x14ac:dyDescent="0.3">
      <c r="C431" s="121" t="s">
        <v>426</v>
      </c>
      <c r="D431" s="113"/>
      <c r="E431" s="113"/>
      <c r="F431" s="113"/>
      <c r="G431" s="113"/>
      <c r="H431" s="113"/>
      <c r="I431" s="113"/>
      <c r="J431" s="113"/>
      <c r="K431" s="113"/>
      <c r="L431" s="126"/>
      <c r="M431" s="126"/>
      <c r="N431" s="126"/>
      <c r="O431" s="126"/>
      <c r="P431" s="126"/>
      <c r="Q431" s="126"/>
      <c r="R431" s="126"/>
      <c r="S431" s="126"/>
      <c r="T431" s="126"/>
      <c r="U431" s="170"/>
    </row>
    <row r="432" spans="3:21" x14ac:dyDescent="0.3">
      <c r="C432" s="137" t="s">
        <v>427</v>
      </c>
      <c r="L432" s="40">
        <f t="shared" ref="L432:U432" si="364">L427*L422</f>
      </c>
      <c r="M432" s="40">
        <f t="shared" si="364"/>
      </c>
      <c r="N432" s="40">
        <f t="shared" si="364"/>
      </c>
      <c r="O432" s="40">
        <f t="shared" si="364"/>
      </c>
      <c r="P432" s="40">
        <f t="shared" si="364"/>
      </c>
      <c r="Q432" s="40">
        <f t="shared" si="364"/>
      </c>
      <c r="R432" s="40">
        <f t="shared" si="364"/>
      </c>
      <c r="S432" s="40">
        <f t="shared" si="364"/>
      </c>
      <c r="T432" s="40">
        <f t="shared" si="364"/>
      </c>
      <c r="U432" s="143">
        <f t="shared" si="364"/>
      </c>
    </row>
    <row r="433" spans="2:22" x14ac:dyDescent="0.3">
      <c r="C433" s="137" t="s">
        <v>428</v>
      </c>
      <c r="L433" s="40">
        <f>L429-L432</f>
      </c>
      <c r="M433" s="40">
        <f t="shared" ref="M433:U433" si="365">M429-M432</f>
      </c>
      <c r="N433" s="40">
        <f t="shared" si="365"/>
      </c>
      <c r="O433" s="40">
        <f t="shared" si="365"/>
      </c>
      <c r="P433" s="40">
        <f t="shared" si="365"/>
      </c>
      <c r="Q433" s="40">
        <f t="shared" si="365"/>
      </c>
      <c r="R433" s="40">
        <f t="shared" si="365"/>
      </c>
      <c r="S433" s="40">
        <f t="shared" si="365"/>
      </c>
      <c r="T433" s="40">
        <f t="shared" si="365"/>
      </c>
      <c r="U433" s="143">
        <f t="shared" si="365"/>
      </c>
    </row>
    <row r="434" spans="2:22" x14ac:dyDescent="0.3">
      <c r="C434" s="122" t="s">
        <v>429</v>
      </c>
      <c r="D434" s="120"/>
      <c r="E434" s="120"/>
      <c r="F434" s="120"/>
      <c r="G434" s="120"/>
      <c r="H434" s="120"/>
      <c r="I434" s="120"/>
      <c r="J434" s="120"/>
      <c r="K434" s="120"/>
      <c r="L434" s="183">
        <f t="shared" ref="L434:U434" si="366">SUM(L432:L433)</f>
      </c>
      <c r="M434" s="183">
        <f t="shared" si="366"/>
      </c>
      <c r="N434" s="183">
        <f t="shared" si="366"/>
      </c>
      <c r="O434" s="183">
        <f t="shared" si="366"/>
      </c>
      <c r="P434" s="183">
        <f t="shared" si="366"/>
      </c>
      <c r="Q434" s="183">
        <f t="shared" si="366"/>
      </c>
      <c r="R434" s="183">
        <f t="shared" si="366"/>
      </c>
      <c r="S434" s="183">
        <f t="shared" si="366"/>
      </c>
      <c r="T434" s="183">
        <f t="shared" si="366"/>
      </c>
      <c r="U434" s="187">
        <f t="shared" si="366"/>
      </c>
    </row>
    <row r="437" spans="2:22" x14ac:dyDescent="0.3">
      <c r="U437" s="227" t="str">
        <f>$U$2</f>
      </c>
    </row>
    <row r="438" spans="2:22" ht="18" x14ac:dyDescent="0.35">
      <c r="B438" s="148" t="str">
        <f>'Assumptions&amp;Scenario'!$K$10</f>
      </c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</row>
    <row r="439" spans="2:22" ht="18" thickBot="1" x14ac:dyDescent="0.35">
      <c r="B439" s="47" t="s">
        <v>430</v>
      </c>
      <c r="C439" s="48"/>
      <c r="D439" s="48"/>
      <c r="E439" s="48"/>
      <c r="F439" s="48"/>
      <c r="G439" s="48"/>
      <c r="H439" s="49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</row>
    <row r="440" spans="2:22" ht="15" thickBot="1" x14ac:dyDescent="0.35">
      <c r="C440" s="2"/>
      <c r="D440" s="2"/>
      <c r="E440" s="2"/>
      <c r="F440" s="2"/>
      <c r="L440" s="42" t="s">
        <v>141</v>
      </c>
      <c r="M440" s="42"/>
      <c r="N440" s="42"/>
      <c r="O440" s="42"/>
      <c r="P440" s="42"/>
      <c r="Q440" s="42"/>
      <c r="R440" s="42"/>
      <c r="S440" s="42"/>
      <c r="T440" s="42"/>
      <c r="U440" s="42"/>
    </row>
    <row r="441" spans="2:22" ht="16.2" thickTop="1" x14ac:dyDescent="0.3">
      <c r="C441" s="43" t="s">
        <v>389</v>
      </c>
      <c r="D441" s="43"/>
      <c r="E441" s="43"/>
      <c r="F441" s="43"/>
      <c r="G441" s="43"/>
      <c r="H441" s="44"/>
      <c r="I441" s="44"/>
      <c r="J441" s="44" t="str">
        <f>"FY"&amp;TEXT(RIGHT(K441,2)-(COLUMN(K441)-COLUMN()),"00")</f>
      </c>
      <c r="K441" s="44" t="str">
        <f>"FY"&amp;TEXT(DATE(YEAR('Data Sheet'!$K$16)+(MONTH('Data Sheet'!$K$16)&gt;3),1,1),"YY")</f>
      </c>
      <c r="L441" s="44" t="str">
        <f t="shared" ref="L441" si="367">"FY"&amp;TEXT(RIGHT(K441,2)+COLUMN()-COLUMN(K441),"00")</f>
      </c>
      <c r="M441" s="44" t="str">
        <f t="shared" ref="M441" si="368">"FY"&amp;TEXT(RIGHT(L441,2)+COLUMN()-COLUMN(L441),"00")</f>
      </c>
      <c r="N441" s="44" t="str">
        <f t="shared" ref="N441" si="369">"FY"&amp;TEXT(RIGHT(M441,2)+COLUMN()-COLUMN(M441),"00")</f>
      </c>
      <c r="O441" s="44" t="str">
        <f t="shared" ref="O441" si="370">"FY"&amp;TEXT(RIGHT(N441,2)+COLUMN()-COLUMN(N441),"00")</f>
      </c>
      <c r="P441" s="44" t="str">
        <f t="shared" ref="P441" si="371">"FY"&amp;TEXT(RIGHT(O441,2)+COLUMN()-COLUMN(O441),"00")</f>
      </c>
      <c r="Q441" s="44" t="str">
        <f t="shared" ref="Q441" si="372">"FY"&amp;TEXT(RIGHT(P441,2)+COLUMN()-COLUMN(P441),"00")</f>
      </c>
      <c r="R441" s="44" t="str">
        <f t="shared" ref="R441" si="373">"FY"&amp;TEXT(RIGHT(Q441,2)+COLUMN()-COLUMN(Q441),"00")</f>
      </c>
      <c r="S441" s="44" t="str">
        <f t="shared" ref="S441" si="374">"FY"&amp;TEXT(RIGHT(R441,2)+COLUMN()-COLUMN(R441),"00")</f>
      </c>
      <c r="T441" s="44" t="str">
        <f t="shared" ref="T441" si="375">"FY"&amp;TEXT(RIGHT(S441,2)+COLUMN()-COLUMN(S441),"00")</f>
      </c>
      <c r="U441" s="44" t="str">
        <f t="shared" ref="U441" si="376">"FY"&amp;TEXT(RIGHT(T441,2)+COLUMN()-COLUMN(T441),"00")</f>
      </c>
    </row>
    <row r="442" spans="2:22" ht="3" customHeight="1" x14ac:dyDescent="0.3"/>
    <row r="443" spans="2:22" ht="3" customHeight="1" x14ac:dyDescent="0.3"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2:22" ht="3" customHeight="1" x14ac:dyDescent="0.3"/>
    <row r="446" spans="2:22" ht="18" x14ac:dyDescent="0.35">
      <c r="C446" s="24" t="s">
        <v>330</v>
      </c>
      <c r="H446" s="77" t="str">
        <f>HistoricalData!H584</f>
      </c>
      <c r="J446" s="40">
        <f>DATE(RIGHT(J441, 2)+2000, 12, 31)-DATE(RIGHT(J441, 2)+1999, 12, 31)</f>
      </c>
      <c r="K446" s="40">
        <f t="shared" ref="K446:U446" si="377">DATE(RIGHT(K441, 2)+2000, 12, 31)-DATE(RIGHT(K441, 2)+1999, 12, 31)</f>
      </c>
      <c r="L446" s="40">
        <f t="shared" si="377"/>
      </c>
      <c r="M446" s="40">
        <f t="shared" si="377"/>
      </c>
      <c r="N446" s="40">
        <f t="shared" si="377"/>
      </c>
      <c r="O446" s="40">
        <f t="shared" si="377"/>
      </c>
      <c r="P446" s="40">
        <f t="shared" si="377"/>
      </c>
      <c r="Q446" s="40">
        <f t="shared" si="377"/>
      </c>
      <c r="R446" s="40">
        <f t="shared" si="377"/>
      </c>
      <c r="S446" s="40">
        <f t="shared" si="377"/>
      </c>
      <c r="T446" s="40">
        <f t="shared" si="377"/>
      </c>
      <c r="U446" s="40">
        <f t="shared" si="377"/>
      </c>
    </row>
    <row r="447" spans="2:22" x14ac:dyDescent="0.3">
      <c r="H447" s="188"/>
    </row>
    <row r="448" spans="2:22" ht="18" x14ac:dyDescent="0.35">
      <c r="C448" s="24" t="s">
        <v>332</v>
      </c>
      <c r="H448" s="188"/>
    </row>
    <row r="449" spans="3:21" x14ac:dyDescent="0.3">
      <c r="D449" t="s">
        <v>183</v>
      </c>
      <c r="H449" s="77" t="str">
        <f t="shared" ref="H449:H450" si="378">$H$23</f>
      </c>
      <c r="J449" s="40">
        <f>J176</f>
      </c>
      <c r="K449" s="40">
        <f t="shared" ref="K449:U449" si="379">K176</f>
      </c>
      <c r="L449" s="40">
        <f t="shared" si="379"/>
      </c>
      <c r="M449" s="40">
        <f t="shared" si="379"/>
      </c>
      <c r="N449" s="40">
        <f t="shared" si="379"/>
      </c>
      <c r="O449" s="40">
        <f t="shared" si="379"/>
      </c>
      <c r="P449" s="40">
        <f t="shared" si="379"/>
      </c>
      <c r="Q449" s="40">
        <f t="shared" si="379"/>
      </c>
      <c r="R449" s="40">
        <f t="shared" si="379"/>
      </c>
      <c r="S449" s="40">
        <f t="shared" si="379"/>
      </c>
      <c r="T449" s="40">
        <f t="shared" si="379"/>
      </c>
      <c r="U449" s="40">
        <f t="shared" si="379"/>
      </c>
    </row>
    <row r="450" spans="3:21" x14ac:dyDescent="0.3">
      <c r="D450" t="s">
        <v>333</v>
      </c>
      <c r="H450" s="77" t="str">
        <f t="shared" si="378"/>
      </c>
      <c r="J450" s="40">
        <f>J178</f>
      </c>
      <c r="K450" s="40">
        <f t="shared" ref="K450:U450" si="380">K178</f>
      </c>
      <c r="L450" s="40">
        <f t="shared" si="380"/>
      </c>
      <c r="M450" s="40">
        <f t="shared" si="380"/>
      </c>
      <c r="N450" s="40">
        <f t="shared" si="380"/>
      </c>
      <c r="O450" s="40">
        <f t="shared" si="380"/>
      </c>
      <c r="P450" s="40">
        <f t="shared" si="380"/>
      </c>
      <c r="Q450" s="40">
        <f t="shared" si="380"/>
      </c>
      <c r="R450" s="40">
        <f t="shared" si="380"/>
      </c>
      <c r="S450" s="40">
        <f t="shared" si="380"/>
      </c>
      <c r="T450" s="40">
        <f t="shared" si="380"/>
      </c>
      <c r="U450" s="40">
        <f t="shared" si="380"/>
      </c>
    </row>
    <row r="451" spans="3:21" x14ac:dyDescent="0.3">
      <c r="H451" s="188"/>
    </row>
    <row r="452" spans="3:21" ht="18" x14ac:dyDescent="0.35">
      <c r="C452" s="24" t="s">
        <v>334</v>
      </c>
      <c r="H452" s="188"/>
    </row>
    <row r="453" spans="3:21" x14ac:dyDescent="0.3">
      <c r="D453" t="s">
        <v>155</v>
      </c>
      <c r="H453" s="77" t="str">
        <f>$H$446</f>
      </c>
      <c r="J453" s="191">
        <f>J461/J449*J$446</f>
      </c>
      <c r="K453" s="191">
        <f>K461/K449*K$446</f>
      </c>
      <c r="L453" s="151">
        <f>'Assumptions&amp;Scenario'!L69</f>
      </c>
      <c r="M453" s="151">
        <f>'Assumptions&amp;Scenario'!M69</f>
      </c>
      <c r="N453" s="151">
        <f>'Assumptions&amp;Scenario'!N69</f>
      </c>
      <c r="O453" s="151">
        <f>'Assumptions&amp;Scenario'!O69</f>
      </c>
      <c r="P453" s="151">
        <f>'Assumptions&amp;Scenario'!P69</f>
      </c>
      <c r="Q453" s="151">
        <f>'Assumptions&amp;Scenario'!Q69</f>
      </c>
      <c r="R453" s="151">
        <f>'Assumptions&amp;Scenario'!R69</f>
      </c>
      <c r="S453" s="151">
        <f>'Assumptions&amp;Scenario'!S69</f>
      </c>
      <c r="T453" s="151">
        <f>'Assumptions&amp;Scenario'!T69</f>
      </c>
      <c r="U453" s="151">
        <f>'Assumptions&amp;Scenario'!U69</f>
      </c>
    </row>
    <row r="454" spans="3:21" x14ac:dyDescent="0.3">
      <c r="D454" t="s">
        <v>92</v>
      </c>
      <c r="H454" s="77" t="str">
        <f t="shared" ref="H454:H458" si="381">$H$446</f>
      </c>
      <c r="J454" s="191">
        <f>J462/J$450*J$446</f>
      </c>
      <c r="K454" s="191">
        <f t="shared" ref="K454:K458" si="382">K462/K$450*K$446</f>
      </c>
      <c r="L454" s="151">
        <f>'Assumptions&amp;Scenario'!L70</f>
      </c>
      <c r="M454" s="151">
        <f>'Assumptions&amp;Scenario'!M70</f>
      </c>
      <c r="N454" s="151">
        <f>'Assumptions&amp;Scenario'!N70</f>
      </c>
      <c r="O454" s="151">
        <f>'Assumptions&amp;Scenario'!O70</f>
      </c>
      <c r="P454" s="151">
        <f>'Assumptions&amp;Scenario'!P70</f>
      </c>
      <c r="Q454" s="151">
        <f>'Assumptions&amp;Scenario'!Q70</f>
      </c>
      <c r="R454" s="151">
        <f>'Assumptions&amp;Scenario'!R70</f>
      </c>
      <c r="S454" s="151">
        <f>'Assumptions&amp;Scenario'!S70</f>
      </c>
      <c r="T454" s="151">
        <f>'Assumptions&amp;Scenario'!T70</f>
      </c>
      <c r="U454" s="151">
        <f>'Assumptions&amp;Scenario'!U70</f>
      </c>
    </row>
    <row r="455" spans="3:21" x14ac:dyDescent="0.3">
      <c r="D455" t="s">
        <v>95</v>
      </c>
      <c r="H455" s="77" t="str">
        <f t="shared" si="381"/>
      </c>
      <c r="J455" s="191">
        <f t="shared" ref="J455" si="383">J463/J$450*J$446</f>
      </c>
      <c r="K455" s="191">
        <f t="shared" si="382"/>
      </c>
      <c r="L455" s="151">
        <f>'Assumptions&amp;Scenario'!L71</f>
      </c>
      <c r="M455" s="151">
        <f>'Assumptions&amp;Scenario'!M71</f>
      </c>
      <c r="N455" s="151">
        <f>'Assumptions&amp;Scenario'!N71</f>
      </c>
      <c r="O455" s="151">
        <f>'Assumptions&amp;Scenario'!O71</f>
      </c>
      <c r="P455" s="151">
        <f>'Assumptions&amp;Scenario'!P71</f>
      </c>
      <c r="Q455" s="151">
        <f>'Assumptions&amp;Scenario'!Q71</f>
      </c>
      <c r="R455" s="151">
        <f>'Assumptions&amp;Scenario'!R71</f>
      </c>
      <c r="S455" s="151">
        <f>'Assumptions&amp;Scenario'!S71</f>
      </c>
      <c r="T455" s="151">
        <f>'Assumptions&amp;Scenario'!T71</f>
      </c>
      <c r="U455" s="151">
        <f>'Assumptions&amp;Scenario'!U71</f>
      </c>
    </row>
    <row r="456" spans="3:21" x14ac:dyDescent="0.3">
      <c r="D456" t="s">
        <v>50</v>
      </c>
      <c r="H456" s="77" t="str">
        <f t="shared" si="381"/>
      </c>
      <c r="J456" s="191">
        <f t="shared" ref="J456" si="384">J464/J$450*J$446</f>
      </c>
      <c r="K456" s="191">
        <f t="shared" si="382"/>
      </c>
      <c r="L456" s="151">
        <f>'Assumptions&amp;Scenario'!L72</f>
      </c>
      <c r="M456" s="151">
        <f>'Assumptions&amp;Scenario'!M72</f>
      </c>
      <c r="N456" s="151">
        <f>'Assumptions&amp;Scenario'!N72</f>
      </c>
      <c r="O456" s="151">
        <f>'Assumptions&amp;Scenario'!O72</f>
      </c>
      <c r="P456" s="151">
        <f>'Assumptions&amp;Scenario'!P72</f>
      </c>
      <c r="Q456" s="151">
        <f>'Assumptions&amp;Scenario'!Q72</f>
      </c>
      <c r="R456" s="151">
        <f>'Assumptions&amp;Scenario'!R72</f>
      </c>
      <c r="S456" s="151">
        <f>'Assumptions&amp;Scenario'!S72</f>
      </c>
      <c r="T456" s="151">
        <f>'Assumptions&amp;Scenario'!T72</f>
      </c>
      <c r="U456" s="151">
        <f>'Assumptions&amp;Scenario'!U72</f>
      </c>
    </row>
    <row r="457" spans="3:21" x14ac:dyDescent="0.3">
      <c r="D457" t="s">
        <v>157</v>
      </c>
      <c r="H457" s="77" t="str">
        <f t="shared" si="381"/>
      </c>
      <c r="J457" s="191">
        <f t="shared" ref="J457" si="385">J465/J$450*J$446</f>
      </c>
      <c r="K457" s="191">
        <f t="shared" si="382"/>
      </c>
      <c r="L457" s="151">
        <f>'Assumptions&amp;Scenario'!L73</f>
      </c>
      <c r="M457" s="151">
        <f>'Assumptions&amp;Scenario'!M73</f>
      </c>
      <c r="N457" s="151">
        <f>'Assumptions&amp;Scenario'!N73</f>
      </c>
      <c r="O457" s="151">
        <f>'Assumptions&amp;Scenario'!O73</f>
      </c>
      <c r="P457" s="151">
        <f>'Assumptions&amp;Scenario'!P73</f>
      </c>
      <c r="Q457" s="151">
        <f>'Assumptions&amp;Scenario'!Q73</f>
      </c>
      <c r="R457" s="151">
        <f>'Assumptions&amp;Scenario'!R73</f>
      </c>
      <c r="S457" s="151">
        <f>'Assumptions&amp;Scenario'!S73</f>
      </c>
      <c r="T457" s="151">
        <f>'Assumptions&amp;Scenario'!T73</f>
      </c>
      <c r="U457" s="151">
        <f>'Assumptions&amp;Scenario'!U73</f>
      </c>
    </row>
    <row r="458" spans="3:21" x14ac:dyDescent="0.3">
      <c r="D458" t="s">
        <v>49</v>
      </c>
      <c r="H458" s="77" t="str">
        <f t="shared" si="381"/>
      </c>
      <c r="J458" s="191">
        <f t="shared" ref="J458" si="386">J466/J$450*J$446</f>
      </c>
      <c r="K458" s="191">
        <f t="shared" si="382"/>
      </c>
      <c r="L458" s="151">
        <f>'Assumptions&amp;Scenario'!L74</f>
      </c>
      <c r="M458" s="151">
        <f>'Assumptions&amp;Scenario'!M74</f>
      </c>
      <c r="N458" s="151">
        <f>'Assumptions&amp;Scenario'!N74</f>
      </c>
      <c r="O458" s="151">
        <f>'Assumptions&amp;Scenario'!O74</f>
      </c>
      <c r="P458" s="151">
        <f>'Assumptions&amp;Scenario'!P74</f>
      </c>
      <c r="Q458" s="151">
        <f>'Assumptions&amp;Scenario'!Q74</f>
      </c>
      <c r="R458" s="151">
        <f>'Assumptions&amp;Scenario'!R74</f>
      </c>
      <c r="S458" s="151">
        <f>'Assumptions&amp;Scenario'!S74</f>
      </c>
      <c r="T458" s="151">
        <f>'Assumptions&amp;Scenario'!T74</f>
      </c>
      <c r="U458" s="151">
        <f>'Assumptions&amp;Scenario'!U74</f>
      </c>
    </row>
    <row r="459" spans="3:21" x14ac:dyDescent="0.3">
      <c r="H459" s="188"/>
      <c r="J459" s="71"/>
      <c r="K459" s="71"/>
      <c r="L459" s="40"/>
      <c r="M459" s="40"/>
      <c r="N459" s="40"/>
      <c r="O459" s="40"/>
      <c r="P459" s="40"/>
      <c r="Q459" s="40"/>
      <c r="R459" s="40"/>
      <c r="S459" s="40"/>
      <c r="T459" s="40"/>
      <c r="U459" s="40"/>
    </row>
    <row r="460" spans="3:21" ht="18" x14ac:dyDescent="0.35">
      <c r="C460" s="24" t="s">
        <v>335</v>
      </c>
      <c r="H460" s="188"/>
      <c r="J460" s="71"/>
      <c r="K460" s="71"/>
      <c r="L460" s="40"/>
      <c r="M460" s="40"/>
      <c r="N460" s="40"/>
      <c r="O460" s="40"/>
      <c r="P460" s="40"/>
      <c r="Q460" s="40"/>
      <c r="R460" s="40"/>
      <c r="S460" s="40"/>
      <c r="T460" s="40"/>
      <c r="U460" s="40"/>
    </row>
    <row r="461" spans="3:21" x14ac:dyDescent="0.3">
      <c r="D461" t="s">
        <v>155</v>
      </c>
      <c r="H461" s="77" t="str">
        <f t="shared" ref="H461:H467" si="387">$H$23</f>
      </c>
      <c r="J461" s="192">
        <f t="shared" ref="J461:K464" si="388">J313</f>
      </c>
      <c r="K461" s="192">
        <f t="shared" si="388"/>
      </c>
      <c r="L461" s="189">
        <f>L453*L$449/L$446</f>
      </c>
      <c r="M461" s="189">
        <f t="shared" ref="M461:U461" si="389">M453*M$449/M$446</f>
      </c>
      <c r="N461" s="189">
        <f t="shared" si="389"/>
      </c>
      <c r="O461" s="189">
        <f t="shared" si="389"/>
      </c>
      <c r="P461" s="189">
        <f t="shared" si="389"/>
      </c>
      <c r="Q461" s="189">
        <f t="shared" si="389"/>
      </c>
      <c r="R461" s="189">
        <f t="shared" si="389"/>
      </c>
      <c r="S461" s="189">
        <f t="shared" si="389"/>
      </c>
      <c r="T461" s="189">
        <f t="shared" si="389"/>
      </c>
      <c r="U461" s="189">
        <f t="shared" si="389"/>
      </c>
    </row>
    <row r="462" spans="3:21" x14ac:dyDescent="0.3">
      <c r="D462" t="s">
        <v>92</v>
      </c>
      <c r="H462" s="77" t="str">
        <f t="shared" si="387"/>
      </c>
      <c r="J462" s="192">
        <f t="shared" si="388"/>
      </c>
      <c r="K462" s="192">
        <f t="shared" si="388"/>
      </c>
      <c r="L462" s="189">
        <f>L454*L$450/L$446</f>
      </c>
      <c r="M462" s="189">
        <f t="shared" ref="M462:U462" si="390">M454*M$450/M$446</f>
      </c>
      <c r="N462" s="189">
        <f t="shared" si="390"/>
      </c>
      <c r="O462" s="189">
        <f t="shared" si="390"/>
      </c>
      <c r="P462" s="189">
        <f t="shared" si="390"/>
      </c>
      <c r="Q462" s="189">
        <f t="shared" si="390"/>
      </c>
      <c r="R462" s="189">
        <f t="shared" si="390"/>
      </c>
      <c r="S462" s="189">
        <f t="shared" si="390"/>
      </c>
      <c r="T462" s="189">
        <f t="shared" si="390"/>
      </c>
      <c r="U462" s="189">
        <f t="shared" si="390"/>
      </c>
    </row>
    <row r="463" spans="3:21" x14ac:dyDescent="0.3">
      <c r="D463" t="s">
        <v>95</v>
      </c>
      <c r="H463" s="77" t="str">
        <f t="shared" si="387"/>
      </c>
      <c r="J463" s="192">
        <f t="shared" si="388"/>
      </c>
      <c r="K463" s="192">
        <f t="shared" si="388"/>
      </c>
      <c r="L463" s="189">
        <f t="shared" ref="L463:U463" si="391">L455*L$450/L$446</f>
      </c>
      <c r="M463" s="189">
        <f t="shared" si="391"/>
      </c>
      <c r="N463" s="189">
        <f t="shared" si="391"/>
      </c>
      <c r="O463" s="189">
        <f t="shared" si="391"/>
      </c>
      <c r="P463" s="189">
        <f t="shared" si="391"/>
      </c>
      <c r="Q463" s="189">
        <f t="shared" si="391"/>
      </c>
      <c r="R463" s="189">
        <f t="shared" si="391"/>
      </c>
      <c r="S463" s="189">
        <f t="shared" si="391"/>
      </c>
      <c r="T463" s="189">
        <f t="shared" si="391"/>
      </c>
      <c r="U463" s="189">
        <f t="shared" si="391"/>
      </c>
    </row>
    <row r="464" spans="3:21" x14ac:dyDescent="0.3">
      <c r="D464" t="s">
        <v>50</v>
      </c>
      <c r="H464" s="77" t="str">
        <f t="shared" si="387"/>
      </c>
      <c r="J464" s="192">
        <f t="shared" si="388"/>
      </c>
      <c r="K464" s="192">
        <f t="shared" si="388"/>
      </c>
      <c r="L464" s="189">
        <f t="shared" ref="L464:U464" si="392">L456*L$450/L$446</f>
      </c>
      <c r="M464" s="189">
        <f t="shared" si="392"/>
      </c>
      <c r="N464" s="189">
        <f t="shared" si="392"/>
      </c>
      <c r="O464" s="189">
        <f t="shared" si="392"/>
      </c>
      <c r="P464" s="189">
        <f t="shared" si="392"/>
      </c>
      <c r="Q464" s="189">
        <f t="shared" si="392"/>
      </c>
      <c r="R464" s="189">
        <f t="shared" si="392"/>
      </c>
      <c r="S464" s="189">
        <f t="shared" si="392"/>
      </c>
      <c r="T464" s="189">
        <f t="shared" si="392"/>
      </c>
      <c r="U464" s="189">
        <f t="shared" si="392"/>
      </c>
    </row>
    <row r="465" spans="2:22" x14ac:dyDescent="0.3">
      <c r="D465" t="s">
        <v>157</v>
      </c>
      <c r="H465" s="77" t="str">
        <f t="shared" si="387"/>
      </c>
      <c r="J465" s="192">
        <f>J351</f>
      </c>
      <c r="K465" s="192">
        <f>K351</f>
      </c>
      <c r="L465" s="189">
        <f t="shared" ref="L465:U465" si="393">L457*L$450/L$446</f>
      </c>
      <c r="M465" s="189">
        <f t="shared" si="393"/>
      </c>
      <c r="N465" s="189">
        <f t="shared" si="393"/>
      </c>
      <c r="O465" s="189">
        <f t="shared" si="393"/>
      </c>
      <c r="P465" s="189">
        <f t="shared" si="393"/>
      </c>
      <c r="Q465" s="189">
        <f t="shared" si="393"/>
      </c>
      <c r="R465" s="189">
        <f t="shared" si="393"/>
      </c>
      <c r="S465" s="189">
        <f t="shared" si="393"/>
      </c>
      <c r="T465" s="189">
        <f t="shared" si="393"/>
      </c>
      <c r="U465" s="189">
        <f t="shared" si="393"/>
      </c>
    </row>
    <row r="466" spans="2:22" x14ac:dyDescent="0.3">
      <c r="D466" t="s">
        <v>49</v>
      </c>
      <c r="H466" s="77" t="str">
        <f t="shared" si="387"/>
      </c>
      <c r="J466" s="192">
        <f>J352</f>
      </c>
      <c r="K466" s="192">
        <f>K352</f>
      </c>
      <c r="L466" s="189">
        <f t="shared" ref="L466:U466" si="394">L458*L$450/L$446</f>
      </c>
      <c r="M466" s="189">
        <f t="shared" si="394"/>
      </c>
      <c r="N466" s="189">
        <f t="shared" si="394"/>
      </c>
      <c r="O466" s="189">
        <f t="shared" si="394"/>
      </c>
      <c r="P466" s="189">
        <f t="shared" si="394"/>
      </c>
      <c r="Q466" s="189">
        <f t="shared" si="394"/>
      </c>
      <c r="R466" s="189">
        <f t="shared" si="394"/>
      </c>
      <c r="S466" s="189">
        <f t="shared" si="394"/>
      </c>
      <c r="T466" s="189">
        <f t="shared" si="394"/>
      </c>
      <c r="U466" s="189">
        <f t="shared" si="394"/>
      </c>
    </row>
    <row r="467" spans="2:22" x14ac:dyDescent="0.3">
      <c r="D467" s="2" t="s">
        <v>336</v>
      </c>
      <c r="H467" s="77" t="str">
        <f t="shared" si="387"/>
      </c>
      <c r="J467" s="126">
        <f>SUM(J461:J464)-SUM(J465:J466)</f>
      </c>
      <c r="K467" s="126">
        <f t="shared" ref="K467:U467" si="395">SUM(K461:K464)-SUM(K465:K466)</f>
      </c>
      <c r="L467" s="126">
        <f t="shared" si="395"/>
      </c>
      <c r="M467" s="126">
        <f t="shared" si="395"/>
      </c>
      <c r="N467" s="126">
        <f t="shared" si="395"/>
      </c>
      <c r="O467" s="126">
        <f t="shared" si="395"/>
      </c>
      <c r="P467" s="126">
        <f t="shared" si="395"/>
      </c>
      <c r="Q467" s="126">
        <f t="shared" si="395"/>
      </c>
      <c r="R467" s="126">
        <f t="shared" si="395"/>
      </c>
      <c r="S467" s="126">
        <f t="shared" si="395"/>
      </c>
      <c r="T467" s="126">
        <f t="shared" si="395"/>
      </c>
      <c r="U467" s="126">
        <f t="shared" si="395"/>
      </c>
    </row>
    <row r="469" spans="2:22" ht="18.600000000000001" thickBot="1" x14ac:dyDescent="0.4">
      <c r="C469" s="24" t="s">
        <v>317</v>
      </c>
      <c r="J469" s="104"/>
      <c r="K469" s="104">
        <f t="shared" ref="K469:U469" si="396">-(K467-J467)</f>
      </c>
      <c r="L469" s="104">
        <f>-(L467-K467)</f>
      </c>
      <c r="M469" s="104">
        <f t="shared" si="396"/>
      </c>
      <c r="N469" s="104">
        <f t="shared" si="396"/>
      </c>
      <c r="O469" s="104">
        <f t="shared" si="396"/>
      </c>
      <c r="P469" s="104">
        <f t="shared" si="396"/>
      </c>
      <c r="Q469" s="104">
        <f t="shared" si="396"/>
      </c>
      <c r="R469" s="104">
        <f t="shared" si="396"/>
      </c>
      <c r="S469" s="104">
        <f t="shared" si="396"/>
      </c>
      <c r="T469" s="104">
        <f t="shared" si="396"/>
      </c>
      <c r="U469" s="104">
        <f t="shared" si="396"/>
      </c>
    </row>
    <row r="470" spans="2:22" ht="15" thickTop="1" x14ac:dyDescent="0.3"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</row>
    <row r="472" spans="2:22" x14ac:dyDescent="0.3">
      <c r="U472" s="227" t="str">
        <f>$U$2</f>
      </c>
    </row>
    <row r="473" spans="2:22" ht="18" x14ac:dyDescent="0.35">
      <c r="B473" s="148" t="str">
        <f>'Assumptions&amp;Scenario'!$K$10</f>
      </c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</row>
    <row r="474" spans="2:22" ht="18" thickBot="1" x14ac:dyDescent="0.35">
      <c r="B474" s="47" t="s">
        <v>431</v>
      </c>
      <c r="C474" s="48"/>
      <c r="D474" s="48"/>
      <c r="E474" s="48"/>
      <c r="F474" s="48"/>
      <c r="G474" s="48"/>
      <c r="H474" s="49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</row>
    <row r="475" spans="2:22" ht="15" thickBot="1" x14ac:dyDescent="0.35">
      <c r="C475" s="2"/>
      <c r="D475" s="2"/>
      <c r="E475" s="2"/>
      <c r="F475" s="2"/>
      <c r="L475" s="42" t="s">
        <v>141</v>
      </c>
      <c r="M475" s="42"/>
      <c r="N475" s="42"/>
      <c r="O475" s="42"/>
      <c r="P475" s="42"/>
      <c r="Q475" s="42"/>
      <c r="R475" s="42"/>
      <c r="S475" s="42"/>
      <c r="T475" s="42"/>
      <c r="U475" s="42"/>
    </row>
    <row r="476" spans="2:22" ht="16.2" thickTop="1" x14ac:dyDescent="0.3">
      <c r="C476" s="43" t="s">
        <v>389</v>
      </c>
      <c r="D476" s="43"/>
      <c r="E476" s="43"/>
      <c r="F476" s="43"/>
      <c r="G476" s="43"/>
      <c r="H476" s="44"/>
      <c r="I476" s="44"/>
      <c r="J476" s="44" t="str">
        <f>"FY"&amp;TEXT(RIGHT(K476,2)-(COLUMN(K476)-COLUMN()),"00")</f>
      </c>
      <c r="K476" s="44" t="str">
        <f>"FY"&amp;TEXT(DATE(YEAR('Data Sheet'!$K$16)+(MONTH('Data Sheet'!$K$16)&gt;3),1,1),"YY")</f>
      </c>
      <c r="L476" s="44" t="str">
        <f t="shared" ref="L476" si="397">"FY"&amp;TEXT(RIGHT(K476,2)+COLUMN()-COLUMN(K476),"00")</f>
      </c>
      <c r="M476" s="44" t="str">
        <f t="shared" ref="M476" si="398">"FY"&amp;TEXT(RIGHT(L476,2)+COLUMN()-COLUMN(L476),"00")</f>
      </c>
      <c r="N476" s="44" t="str">
        <f t="shared" ref="N476" si="399">"FY"&amp;TEXT(RIGHT(M476,2)+COLUMN()-COLUMN(M476),"00")</f>
      </c>
      <c r="O476" s="44" t="str">
        <f t="shared" ref="O476" si="400">"FY"&amp;TEXT(RIGHT(N476,2)+COLUMN()-COLUMN(N476),"00")</f>
      </c>
      <c r="P476" s="44" t="str">
        <f t="shared" ref="P476" si="401">"FY"&amp;TEXT(RIGHT(O476,2)+COLUMN()-COLUMN(O476),"00")</f>
      </c>
      <c r="Q476" s="44" t="str">
        <f t="shared" ref="Q476" si="402">"FY"&amp;TEXT(RIGHT(P476,2)+COLUMN()-COLUMN(P476),"00")</f>
      </c>
      <c r="R476" s="44" t="str">
        <f t="shared" ref="R476" si="403">"FY"&amp;TEXT(RIGHT(Q476,2)+COLUMN()-COLUMN(Q476),"00")</f>
      </c>
      <c r="S476" s="44" t="str">
        <f t="shared" ref="S476" si="404">"FY"&amp;TEXT(RIGHT(R476,2)+COLUMN()-COLUMN(R476),"00")</f>
      </c>
      <c r="T476" s="44" t="str">
        <f t="shared" ref="T476" si="405">"FY"&amp;TEXT(RIGHT(S476,2)+COLUMN()-COLUMN(S476),"00")</f>
      </c>
      <c r="U476" s="44" t="str">
        <f t="shared" ref="U476" si="406">"FY"&amp;TEXT(RIGHT(T476,2)+COLUMN()-COLUMN(T476),"00")</f>
      </c>
    </row>
    <row r="477" spans="2:22" ht="3" customHeight="1" x14ac:dyDescent="0.3"/>
    <row r="478" spans="2:22" ht="3" customHeight="1" x14ac:dyDescent="0.3"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2:22" ht="3" customHeight="1" x14ac:dyDescent="0.3"/>
    <row r="480" spans="2:22" ht="18" x14ac:dyDescent="0.35">
      <c r="C480" s="24" t="s">
        <v>458</v>
      </c>
      <c r="H480" s="77" t="str">
        <f t="shared" ref="H480" si="407">$H$23</f>
      </c>
    </row>
    <row r="481" spans="3:21" x14ac:dyDescent="0.3">
      <c r="D481" t="s">
        <v>456</v>
      </c>
      <c r="J481" s="40"/>
      <c r="K481" s="40"/>
      <c r="L481" s="40">
        <f>K484</f>
      </c>
      <c r="M481" s="40">
        <f t="shared" ref="M481:U481" si="408">L484</f>
      </c>
      <c r="N481" s="40">
        <f t="shared" si="408"/>
      </c>
      <c r="O481" s="40">
        <f t="shared" si="408"/>
      </c>
      <c r="P481" s="40">
        <f t="shared" si="408"/>
      </c>
      <c r="Q481" s="40">
        <f t="shared" si="408"/>
      </c>
      <c r="R481" s="40">
        <f t="shared" si="408"/>
      </c>
      <c r="S481" s="40">
        <f t="shared" si="408"/>
      </c>
      <c r="T481" s="40">
        <f t="shared" si="408"/>
      </c>
      <c r="U481" s="40">
        <f t="shared" si="408"/>
      </c>
    </row>
    <row r="482" spans="3:21" x14ac:dyDescent="0.3">
      <c r="D482" t="s">
        <v>433</v>
      </c>
      <c r="J482" s="40"/>
      <c r="K482" s="40"/>
      <c r="L482" s="40">
        <f>L291</f>
      </c>
      <c r="M482" s="40">
        <f t="shared" ref="M482:U482" si="409">M291</f>
      </c>
      <c r="N482" s="40">
        <f t="shared" si="409"/>
      </c>
      <c r="O482" s="40">
        <f t="shared" si="409"/>
      </c>
      <c r="P482" s="40">
        <f t="shared" si="409"/>
      </c>
      <c r="Q482" s="40">
        <f t="shared" si="409"/>
      </c>
      <c r="R482" s="40">
        <f t="shared" si="409"/>
      </c>
      <c r="S482" s="40">
        <f t="shared" si="409"/>
      </c>
      <c r="T482" s="40">
        <f t="shared" si="409"/>
      </c>
      <c r="U482" s="40">
        <f t="shared" si="409"/>
      </c>
    </row>
    <row r="483" spans="3:21" x14ac:dyDescent="0.3">
      <c r="D483" t="s">
        <v>267</v>
      </c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</row>
    <row r="484" spans="3:21" x14ac:dyDescent="0.3">
      <c r="D484" t="s">
        <v>457</v>
      </c>
      <c r="J484" s="91"/>
      <c r="K484" s="91">
        <f>K307</f>
      </c>
      <c r="L484" s="91">
        <f t="shared" ref="L484:U484" si="410">SUM(L481:L483)</f>
      </c>
      <c r="M484" s="91">
        <f t="shared" si="410"/>
      </c>
      <c r="N484" s="91">
        <f t="shared" si="410"/>
      </c>
      <c r="O484" s="91">
        <f t="shared" si="410"/>
      </c>
      <c r="P484" s="91">
        <f t="shared" si="410"/>
      </c>
      <c r="Q484" s="91">
        <f t="shared" si="410"/>
      </c>
      <c r="R484" s="91">
        <f t="shared" si="410"/>
      </c>
      <c r="S484" s="91">
        <f t="shared" si="410"/>
      </c>
      <c r="T484" s="91">
        <f t="shared" si="410"/>
      </c>
      <c r="U484" s="91">
        <f t="shared" si="410"/>
      </c>
    </row>
    <row r="485" spans="3:21" ht="3" customHeight="1" x14ac:dyDescent="0.3"/>
    <row r="486" spans="3:21" x14ac:dyDescent="0.3">
      <c r="D486" t="s">
        <v>435</v>
      </c>
      <c r="J486" s="40"/>
      <c r="K486" s="40">
        <f>K308</f>
      </c>
      <c r="L486" s="40">
        <f>L308</f>
      </c>
      <c r="M486" s="40">
        <f t="shared" ref="M486:U486" si="411">M308</f>
      </c>
      <c r="N486" s="40">
        <f t="shared" si="411"/>
      </c>
      <c r="O486" s="40">
        <f t="shared" si="411"/>
      </c>
      <c r="P486" s="40">
        <f t="shared" si="411"/>
      </c>
      <c r="Q486" s="40">
        <f t="shared" si="411"/>
      </c>
      <c r="R486" s="40">
        <f t="shared" si="411"/>
      </c>
      <c r="S486" s="40">
        <f t="shared" si="411"/>
      </c>
      <c r="T486" s="40">
        <f t="shared" si="411"/>
      </c>
      <c r="U486" s="40">
        <f t="shared" si="411"/>
      </c>
    </row>
    <row r="487" spans="3:21" x14ac:dyDescent="0.3">
      <c r="D487" t="s">
        <v>436</v>
      </c>
      <c r="J487" s="40"/>
      <c r="K487" s="40">
        <f>K325</f>
      </c>
      <c r="L487" s="40">
        <f>L325</f>
      </c>
      <c r="M487" s="40">
        <f t="shared" ref="M487:U487" si="412">M325</f>
      </c>
      <c r="N487" s="40">
        <f t="shared" si="412"/>
      </c>
      <c r="O487" s="40">
        <f t="shared" si="412"/>
      </c>
      <c r="P487" s="40">
        <f t="shared" si="412"/>
      </c>
      <c r="Q487" s="40">
        <f t="shared" si="412"/>
      </c>
      <c r="R487" s="40">
        <f t="shared" si="412"/>
      </c>
      <c r="S487" s="40">
        <f t="shared" si="412"/>
      </c>
      <c r="T487" s="40">
        <f t="shared" si="412"/>
      </c>
      <c r="U487" s="40">
        <f t="shared" si="412"/>
      </c>
    </row>
    <row r="488" spans="3:21" x14ac:dyDescent="0.3">
      <c r="D488" t="s">
        <v>437</v>
      </c>
      <c r="J488" s="193"/>
      <c r="K488" s="193">
        <f t="shared" ref="K488:U488" si="413">SUM(K486:K487)+K481</f>
      </c>
      <c r="L488" s="193">
        <f t="shared" si="413"/>
      </c>
      <c r="M488" s="193">
        <f t="shared" si="413"/>
      </c>
      <c r="N488" s="193">
        <f t="shared" si="413"/>
      </c>
      <c r="O488" s="193">
        <f t="shared" si="413"/>
      </c>
      <c r="P488" s="193">
        <f t="shared" si="413"/>
      </c>
      <c r="Q488" s="193">
        <f t="shared" si="413"/>
      </c>
      <c r="R488" s="193">
        <f t="shared" si="413"/>
      </c>
      <c r="S488" s="193">
        <f t="shared" si="413"/>
      </c>
      <c r="T488" s="193">
        <f t="shared" si="413"/>
      </c>
      <c r="U488" s="193">
        <f t="shared" si="413"/>
      </c>
    </row>
    <row r="489" spans="3:21" x14ac:dyDescent="0.3">
      <c r="D489" t="s">
        <v>438</v>
      </c>
      <c r="J489" s="90"/>
      <c r="K489" s="90"/>
      <c r="L489" s="90">
        <f>AVERAGE(K488:L488)</f>
      </c>
      <c r="M489" s="90">
        <f t="shared" ref="M489:U489" si="414">AVERAGE(L488:M488)</f>
      </c>
      <c r="N489" s="90">
        <f t="shared" si="414"/>
      </c>
      <c r="O489" s="90">
        <f t="shared" si="414"/>
      </c>
      <c r="P489" s="90">
        <f t="shared" si="414"/>
      </c>
      <c r="Q489" s="90">
        <f t="shared" si="414"/>
      </c>
      <c r="R489" s="90">
        <f t="shared" si="414"/>
      </c>
      <c r="S489" s="90">
        <f t="shared" si="414"/>
      </c>
      <c r="T489" s="90">
        <f t="shared" si="414"/>
      </c>
      <c r="U489" s="90">
        <f t="shared" si="414"/>
      </c>
    </row>
    <row r="490" spans="3:21" ht="3" customHeight="1" x14ac:dyDescent="0.3"/>
    <row r="491" spans="3:21" x14ac:dyDescent="0.3">
      <c r="D491" t="s">
        <v>487</v>
      </c>
      <c r="J491" s="184"/>
      <c r="K491" s="184"/>
      <c r="L491" s="184">
        <f>'Assumptions&amp;Scenario'!$K$35+'Assumptions&amp;Scenario'!L124</f>
      </c>
      <c r="M491" s="184">
        <f>'Assumptions&amp;Scenario'!$K$35+'Assumptions&amp;Scenario'!M124</f>
      </c>
      <c r="N491" s="184">
        <f>'Assumptions&amp;Scenario'!$K$35+'Assumptions&amp;Scenario'!N124</f>
      </c>
      <c r="O491" s="184">
        <f>'Assumptions&amp;Scenario'!$K$35+'Assumptions&amp;Scenario'!O124</f>
      </c>
      <c r="P491" s="184">
        <f>'Assumptions&amp;Scenario'!$K$35+'Assumptions&amp;Scenario'!P124</f>
      </c>
      <c r="Q491" s="184">
        <f>'Assumptions&amp;Scenario'!$K$35+'Assumptions&amp;Scenario'!Q124</f>
      </c>
      <c r="R491" s="184">
        <f>'Assumptions&amp;Scenario'!$K$35+'Assumptions&amp;Scenario'!R124</f>
      </c>
      <c r="S491" s="184">
        <f>'Assumptions&amp;Scenario'!$K$35+'Assumptions&amp;Scenario'!S124</f>
      </c>
      <c r="T491" s="184">
        <f>'Assumptions&amp;Scenario'!$K$35+'Assumptions&amp;Scenario'!T124</f>
      </c>
      <c r="U491" s="184">
        <f>'Assumptions&amp;Scenario'!$K$35+'Assumptions&amp;Scenario'!U124</f>
      </c>
    </row>
    <row r="492" spans="3:21" ht="18.600000000000001" thickBot="1" x14ac:dyDescent="0.4">
      <c r="C492" s="24" t="s">
        <v>439</v>
      </c>
      <c r="J492" s="104"/>
      <c r="K492" s="104">
        <f>K180</f>
      </c>
      <c r="L492" s="104">
        <f>L489*L491</f>
      </c>
      <c r="M492" s="104">
        <f t="shared" ref="M492:U492" si="415">M489*M491</f>
      </c>
      <c r="N492" s="104">
        <f t="shared" si="415"/>
      </c>
      <c r="O492" s="104">
        <f t="shared" si="415"/>
      </c>
      <c r="P492" s="104">
        <f t="shared" si="415"/>
      </c>
      <c r="Q492" s="104">
        <f t="shared" si="415"/>
      </c>
      <c r="R492" s="104">
        <f t="shared" si="415"/>
      </c>
      <c r="S492" s="104">
        <f t="shared" si="415"/>
      </c>
      <c r="T492" s="104">
        <f t="shared" si="415"/>
      </c>
      <c r="U492" s="104">
        <f t="shared" si="415"/>
      </c>
    </row>
    <row r="493" spans="3:21" ht="3" customHeight="1" thickTop="1" x14ac:dyDescent="0.3"/>
    <row r="494" spans="3:21" ht="18" x14ac:dyDescent="0.35">
      <c r="C494" s="24" t="s">
        <v>440</v>
      </c>
    </row>
    <row r="495" spans="3:21" x14ac:dyDescent="0.3">
      <c r="D495" t="s">
        <v>254</v>
      </c>
      <c r="J495" s="40"/>
      <c r="K495" s="40"/>
      <c r="L495" s="40">
        <f>L271</f>
      </c>
      <c r="M495" s="40">
        <f t="shared" ref="M495:U495" si="416">M271</f>
      </c>
      <c r="N495" s="40">
        <f t="shared" si="416"/>
      </c>
      <c r="O495" s="40">
        <f t="shared" si="416"/>
      </c>
      <c r="P495" s="40">
        <f t="shared" si="416"/>
      </c>
      <c r="Q495" s="40">
        <f t="shared" si="416"/>
      </c>
      <c r="R495" s="40">
        <f t="shared" si="416"/>
      </c>
      <c r="S495" s="40">
        <f t="shared" si="416"/>
      </c>
      <c r="T495" s="40">
        <f t="shared" si="416"/>
      </c>
      <c r="U495" s="40">
        <f t="shared" si="416"/>
      </c>
    </row>
    <row r="496" spans="3:21" x14ac:dyDescent="0.3">
      <c r="D496" t="s">
        <v>258</v>
      </c>
      <c r="J496" s="40"/>
      <c r="K496" s="40"/>
      <c r="L496" s="40">
        <f>L279</f>
      </c>
      <c r="M496" s="40">
        <f t="shared" ref="M496:U496" si="417">M279</f>
      </c>
      <c r="N496" s="40">
        <f t="shared" si="417"/>
      </c>
      <c r="O496" s="40">
        <f t="shared" si="417"/>
      </c>
      <c r="P496" s="40">
        <f t="shared" si="417"/>
      </c>
      <c r="Q496" s="40">
        <f t="shared" si="417"/>
      </c>
      <c r="R496" s="40">
        <f t="shared" si="417"/>
      </c>
      <c r="S496" s="40">
        <f t="shared" si="417"/>
      </c>
      <c r="T496" s="40">
        <f t="shared" si="417"/>
      </c>
      <c r="U496" s="40">
        <f t="shared" si="417"/>
      </c>
    </row>
    <row r="497" spans="3:21" x14ac:dyDescent="0.3">
      <c r="D497" t="s">
        <v>441</v>
      </c>
      <c r="J497" s="40"/>
      <c r="K497" s="40"/>
      <c r="L497" s="40">
        <f>L512</f>
      </c>
      <c r="M497" s="40">
        <f t="shared" ref="M497:U497" si="418">M512</f>
      </c>
      <c r="N497" s="40">
        <f t="shared" si="418"/>
      </c>
      <c r="O497" s="40">
        <f t="shared" si="418"/>
      </c>
      <c r="P497" s="40">
        <f t="shared" si="418"/>
      </c>
      <c r="Q497" s="40">
        <f t="shared" si="418"/>
      </c>
      <c r="R497" s="40">
        <f t="shared" si="418"/>
      </c>
      <c r="S497" s="40">
        <f t="shared" si="418"/>
      </c>
      <c r="T497" s="40">
        <f t="shared" si="418"/>
      </c>
      <c r="U497" s="40">
        <f t="shared" si="418"/>
      </c>
    </row>
    <row r="498" spans="3:21" x14ac:dyDescent="0.3">
      <c r="D498" t="s">
        <v>249</v>
      </c>
      <c r="J498" s="40"/>
      <c r="K498" s="40"/>
      <c r="L498" s="40">
        <f>-L518</f>
      </c>
      <c r="M498" s="40">
        <f t="shared" ref="M498:U498" si="419">-M518</f>
      </c>
      <c r="N498" s="40">
        <f t="shared" si="419"/>
      </c>
      <c r="O498" s="40">
        <f t="shared" si="419"/>
      </c>
      <c r="P498" s="40">
        <f t="shared" si="419"/>
      </c>
      <c r="Q498" s="40">
        <f t="shared" si="419"/>
      </c>
      <c r="R498" s="40">
        <f t="shared" si="419"/>
      </c>
      <c r="S498" s="40">
        <f t="shared" si="419"/>
      </c>
      <c r="T498" s="40">
        <f t="shared" si="419"/>
      </c>
      <c r="U498" s="40">
        <f t="shared" si="419"/>
      </c>
    </row>
    <row r="499" spans="3:21" x14ac:dyDescent="0.3">
      <c r="D499" t="s">
        <v>442</v>
      </c>
      <c r="J499" s="40"/>
      <c r="K499" s="40"/>
      <c r="L499" s="40">
        <f>L531</f>
      </c>
      <c r="M499" s="40">
        <f t="shared" ref="M499:U499" si="420">M531</f>
      </c>
      <c r="N499" s="40">
        <f t="shared" si="420"/>
      </c>
      <c r="O499" s="40">
        <f t="shared" si="420"/>
      </c>
      <c r="P499" s="40">
        <f t="shared" si="420"/>
      </c>
      <c r="Q499" s="40">
        <f t="shared" si="420"/>
      </c>
      <c r="R499" s="40">
        <f t="shared" si="420"/>
      </c>
      <c r="S499" s="40">
        <f t="shared" si="420"/>
      </c>
      <c r="T499" s="40">
        <f t="shared" si="420"/>
      </c>
      <c r="U499" s="40">
        <f t="shared" si="420"/>
      </c>
    </row>
    <row r="500" spans="3:21" x14ac:dyDescent="0.3">
      <c r="D500" t="s">
        <v>356</v>
      </c>
      <c r="J500" s="40"/>
      <c r="K500" s="40"/>
      <c r="L500" s="40">
        <f>-L538</f>
      </c>
      <c r="M500" s="40">
        <f t="shared" ref="M500:U500" si="421">-M538</f>
      </c>
      <c r="N500" s="40">
        <f t="shared" si="421"/>
      </c>
      <c r="O500" s="40">
        <f t="shared" si="421"/>
      </c>
      <c r="P500" s="40">
        <f t="shared" si="421"/>
      </c>
      <c r="Q500" s="40">
        <f t="shared" si="421"/>
      </c>
      <c r="R500" s="40">
        <f t="shared" si="421"/>
      </c>
      <c r="S500" s="40">
        <f t="shared" si="421"/>
      </c>
      <c r="T500" s="40">
        <f t="shared" si="421"/>
      </c>
      <c r="U500" s="40">
        <f t="shared" si="421"/>
      </c>
    </row>
    <row r="501" spans="3:21" x14ac:dyDescent="0.3">
      <c r="D501" t="s">
        <v>443</v>
      </c>
      <c r="J501" s="94"/>
      <c r="K501" s="94"/>
      <c r="L501" s="94">
        <f>SUM(L495:L500)</f>
      </c>
      <c r="M501" s="94">
        <f t="shared" ref="M501:U501" si="422">SUM(M495:M500)</f>
      </c>
      <c r="N501" s="94">
        <f t="shared" si="422"/>
      </c>
      <c r="O501" s="94">
        <f t="shared" si="422"/>
      </c>
      <c r="P501" s="94">
        <f t="shared" si="422"/>
      </c>
      <c r="Q501" s="94">
        <f t="shared" si="422"/>
      </c>
      <c r="R501" s="94">
        <f t="shared" si="422"/>
      </c>
      <c r="S501" s="94">
        <f t="shared" si="422"/>
      </c>
      <c r="T501" s="94">
        <f t="shared" si="422"/>
      </c>
      <c r="U501" s="94">
        <f t="shared" si="422"/>
      </c>
    </row>
    <row r="502" spans="3:21" ht="3" customHeight="1" x14ac:dyDescent="0.3"/>
    <row r="503" spans="3:21" x14ac:dyDescent="0.3">
      <c r="D503" t="s">
        <v>444</v>
      </c>
      <c r="J503" s="40"/>
      <c r="K503" s="40"/>
      <c r="L503" s="40">
        <f>K505</f>
      </c>
      <c r="M503" s="40">
        <f t="shared" ref="M503:U503" si="423">L505</f>
      </c>
      <c r="N503" s="40">
        <f t="shared" si="423"/>
      </c>
      <c r="O503" s="40">
        <f t="shared" si="423"/>
      </c>
      <c r="P503" s="40">
        <f t="shared" si="423"/>
      </c>
      <c r="Q503" s="40">
        <f t="shared" si="423"/>
      </c>
      <c r="R503" s="40">
        <f t="shared" si="423"/>
      </c>
      <c r="S503" s="40">
        <f t="shared" si="423"/>
      </c>
      <c r="T503" s="40">
        <f t="shared" si="423"/>
      </c>
      <c r="U503" s="40">
        <f t="shared" si="423"/>
      </c>
    </row>
    <row r="504" spans="3:21" x14ac:dyDescent="0.3">
      <c r="D504" t="s">
        <v>445</v>
      </c>
      <c r="J504" s="40"/>
      <c r="K504" s="40"/>
      <c r="L504" s="40">
        <f>-MIN(L481+L501, L503)</f>
      </c>
      <c r="M504" s="40">
        <f t="shared" ref="M504:U504" si="424">-MIN(M481+M501, M503)</f>
      </c>
      <c r="N504" s="40">
        <f t="shared" si="424"/>
      </c>
      <c r="O504" s="40">
        <f t="shared" si="424"/>
      </c>
      <c r="P504" s="40">
        <f t="shared" si="424"/>
      </c>
      <c r="Q504" s="40">
        <f t="shared" si="424"/>
      </c>
      <c r="R504" s="40">
        <f t="shared" si="424"/>
      </c>
      <c r="S504" s="40">
        <f t="shared" si="424"/>
      </c>
      <c r="T504" s="40">
        <f t="shared" si="424"/>
      </c>
      <c r="U504" s="40">
        <f t="shared" si="424"/>
      </c>
    </row>
    <row r="505" spans="3:21" x14ac:dyDescent="0.3">
      <c r="D505" t="s">
        <v>446</v>
      </c>
      <c r="J505" s="94"/>
      <c r="K505" s="94">
        <f>K347</f>
      </c>
      <c r="L505" s="94">
        <f>SUM(L503:L504)</f>
      </c>
      <c r="M505" s="94">
        <f t="shared" ref="M505:U505" si="425">SUM(M503:M504)</f>
      </c>
      <c r="N505" s="94">
        <f t="shared" si="425"/>
      </c>
      <c r="O505" s="94">
        <f t="shared" si="425"/>
      </c>
      <c r="P505" s="94">
        <f t="shared" si="425"/>
      </c>
      <c r="Q505" s="94">
        <f t="shared" si="425"/>
      </c>
      <c r="R505" s="94">
        <f t="shared" si="425"/>
      </c>
      <c r="S505" s="94">
        <f t="shared" si="425"/>
      </c>
      <c r="T505" s="94">
        <f t="shared" si="425"/>
      </c>
      <c r="U505" s="94">
        <f t="shared" si="425"/>
      </c>
    </row>
    <row r="506" spans="3:21" ht="3" customHeight="1" x14ac:dyDescent="0.3"/>
    <row r="507" spans="3:21" x14ac:dyDescent="0.3">
      <c r="D507" t="s">
        <v>485</v>
      </c>
      <c r="J507" s="184"/>
      <c r="K507" s="184"/>
      <c r="L507" s="184">
        <f>'Assumptions&amp;Scenario'!$K$36+'Assumptions&amp;Scenario'!L124</f>
      </c>
      <c r="M507" s="184">
        <f>'Assumptions&amp;Scenario'!$K$36+'Assumptions&amp;Scenario'!M124</f>
      </c>
      <c r="N507" s="184">
        <f>'Assumptions&amp;Scenario'!$K$36+'Assumptions&amp;Scenario'!N124</f>
      </c>
      <c r="O507" s="184">
        <f>'Assumptions&amp;Scenario'!$K$36+'Assumptions&amp;Scenario'!O124</f>
      </c>
      <c r="P507" s="184">
        <f>'Assumptions&amp;Scenario'!$K$36+'Assumptions&amp;Scenario'!P124</f>
      </c>
      <c r="Q507" s="184">
        <f>'Assumptions&amp;Scenario'!$K$36+'Assumptions&amp;Scenario'!Q124</f>
      </c>
      <c r="R507" s="184">
        <f>'Assumptions&amp;Scenario'!$K$36+'Assumptions&amp;Scenario'!R124</f>
      </c>
      <c r="S507" s="184">
        <f>'Assumptions&amp;Scenario'!$K$36+'Assumptions&amp;Scenario'!S124</f>
      </c>
      <c r="T507" s="184">
        <f>'Assumptions&amp;Scenario'!$K$36+'Assumptions&amp;Scenario'!T124</f>
      </c>
      <c r="U507" s="184">
        <f>'Assumptions&amp;Scenario'!$K$36+'Assumptions&amp;Scenario'!U124</f>
      </c>
    </row>
    <row r="508" spans="3:21" x14ac:dyDescent="0.3">
      <c r="C508" s="2" t="s">
        <v>459</v>
      </c>
      <c r="J508" s="103"/>
      <c r="K508" s="103"/>
      <c r="L508" s="103">
        <f>L507*L503</f>
      </c>
      <c r="M508" s="103">
        <f t="shared" ref="M508:U508" si="426">M507*M503</f>
      </c>
      <c r="N508" s="103">
        <f t="shared" si="426"/>
      </c>
      <c r="O508" s="103">
        <f t="shared" si="426"/>
      </c>
      <c r="P508" s="103">
        <f t="shared" si="426"/>
      </c>
      <c r="Q508" s="103">
        <f t="shared" si="426"/>
      </c>
      <c r="R508" s="103">
        <f t="shared" si="426"/>
      </c>
      <c r="S508" s="103">
        <f t="shared" si="426"/>
      </c>
      <c r="T508" s="103">
        <f t="shared" si="426"/>
      </c>
      <c r="U508" s="103">
        <f t="shared" si="426"/>
      </c>
    </row>
    <row r="509" spans="3:21" ht="3" customHeight="1" x14ac:dyDescent="0.3"/>
    <row r="510" spans="3:21" ht="18" x14ac:dyDescent="0.35">
      <c r="C510" s="24" t="s">
        <v>287</v>
      </c>
    </row>
    <row r="511" spans="3:21" x14ac:dyDescent="0.3">
      <c r="D511" t="s">
        <v>432</v>
      </c>
      <c r="J511" s="40"/>
      <c r="K511" s="40"/>
      <c r="L511" s="40">
        <f>K513</f>
      </c>
      <c r="M511" s="40">
        <f t="shared" ref="M511:U511" si="427">L513</f>
      </c>
      <c r="N511" s="40">
        <f t="shared" si="427"/>
      </c>
      <c r="O511" s="40">
        <f t="shared" si="427"/>
      </c>
      <c r="P511" s="40">
        <f t="shared" si="427"/>
      </c>
      <c r="Q511" s="40">
        <f t="shared" si="427"/>
      </c>
      <c r="R511" s="40">
        <f t="shared" si="427"/>
      </c>
      <c r="S511" s="40">
        <f t="shared" si="427"/>
      </c>
      <c r="T511" s="40">
        <f t="shared" si="427"/>
      </c>
      <c r="U511" s="40">
        <f t="shared" si="427"/>
      </c>
    </row>
    <row r="512" spans="3:21" x14ac:dyDescent="0.3">
      <c r="D512" t="s">
        <v>445</v>
      </c>
      <c r="J512" s="151"/>
      <c r="K512" s="151"/>
      <c r="L512" s="151">
        <f>'Assumptions&amp;Scenario'!L77</f>
      </c>
      <c r="M512" s="151">
        <f>'Assumptions&amp;Scenario'!M77</f>
      </c>
      <c r="N512" s="151">
        <f>'Assumptions&amp;Scenario'!N77</f>
      </c>
      <c r="O512" s="151">
        <f>'Assumptions&amp;Scenario'!O77</f>
      </c>
      <c r="P512" s="151">
        <f>'Assumptions&amp;Scenario'!P77</f>
      </c>
      <c r="Q512" s="151">
        <f>'Assumptions&amp;Scenario'!Q77</f>
      </c>
      <c r="R512" s="151">
        <f>'Assumptions&amp;Scenario'!R77</f>
      </c>
      <c r="S512" s="151">
        <f>'Assumptions&amp;Scenario'!S77</f>
      </c>
      <c r="T512" s="151">
        <f>'Assumptions&amp;Scenario'!T77</f>
      </c>
      <c r="U512" s="151">
        <f>'Assumptions&amp;Scenario'!U77</f>
      </c>
    </row>
    <row r="513" spans="2:22" x14ac:dyDescent="0.3">
      <c r="D513" t="s">
        <v>434</v>
      </c>
      <c r="J513" s="103"/>
      <c r="K513" s="103">
        <f>K361</f>
      </c>
      <c r="L513" s="103">
        <f>SUM(L511:L512)</f>
      </c>
      <c r="M513" s="103">
        <f t="shared" ref="M513:U513" si="428">SUM(M511:M512)</f>
      </c>
      <c r="N513" s="103">
        <f t="shared" si="428"/>
      </c>
      <c r="O513" s="103">
        <f t="shared" si="428"/>
      </c>
      <c r="P513" s="103">
        <f t="shared" si="428"/>
      </c>
      <c r="Q513" s="103">
        <f t="shared" si="428"/>
      </c>
      <c r="R513" s="103">
        <f t="shared" si="428"/>
      </c>
      <c r="S513" s="103">
        <f t="shared" si="428"/>
      </c>
      <c r="T513" s="103">
        <f t="shared" si="428"/>
      </c>
      <c r="U513" s="103">
        <f t="shared" si="428"/>
      </c>
    </row>
    <row r="514" spans="2:22" ht="3" customHeight="1" x14ac:dyDescent="0.3"/>
    <row r="515" spans="2:22" x14ac:dyDescent="0.3">
      <c r="D515" t="s">
        <v>486</v>
      </c>
      <c r="J515" s="184"/>
      <c r="K515" s="184"/>
      <c r="L515" s="184">
        <f>'Assumptions&amp;Scenario'!$K$37+'Assumptions&amp;Scenario'!L124</f>
      </c>
      <c r="M515" s="184">
        <f>'Assumptions&amp;Scenario'!$K$37+'Assumptions&amp;Scenario'!M124</f>
      </c>
      <c r="N515" s="184">
        <f>'Assumptions&amp;Scenario'!$K$37+'Assumptions&amp;Scenario'!N124</f>
      </c>
      <c r="O515" s="184">
        <f>'Assumptions&amp;Scenario'!$K$37+'Assumptions&amp;Scenario'!O124</f>
      </c>
      <c r="P515" s="184">
        <f>'Assumptions&amp;Scenario'!$K$37+'Assumptions&amp;Scenario'!P124</f>
      </c>
      <c r="Q515" s="184">
        <f>'Assumptions&amp;Scenario'!$K$37+'Assumptions&amp;Scenario'!Q124</f>
      </c>
      <c r="R515" s="184">
        <f>'Assumptions&amp;Scenario'!$K$37+'Assumptions&amp;Scenario'!R124</f>
      </c>
      <c r="S515" s="184">
        <f>'Assumptions&amp;Scenario'!$K$37+'Assumptions&amp;Scenario'!S124</f>
      </c>
      <c r="T515" s="184">
        <f>'Assumptions&amp;Scenario'!$K$37+'Assumptions&amp;Scenario'!T124</f>
      </c>
      <c r="U515" s="184">
        <f>'Assumptions&amp;Scenario'!$K$37+'Assumptions&amp;Scenario'!U124</f>
      </c>
    </row>
    <row r="516" spans="2:22" x14ac:dyDescent="0.3">
      <c r="C516" s="2" t="s">
        <v>460</v>
      </c>
      <c r="J516" s="103"/>
      <c r="K516" s="103"/>
      <c r="L516" s="103">
        <f>L511*L515</f>
      </c>
      <c r="M516" s="103">
        <f t="shared" ref="M516:U516" si="429">M511*M515</f>
      </c>
      <c r="N516" s="103">
        <f t="shared" si="429"/>
      </c>
      <c r="O516" s="103">
        <f t="shared" si="429"/>
      </c>
      <c r="P516" s="103">
        <f t="shared" si="429"/>
      </c>
      <c r="Q516" s="103">
        <f t="shared" si="429"/>
      </c>
      <c r="R516" s="103">
        <f t="shared" si="429"/>
      </c>
      <c r="S516" s="103">
        <f t="shared" si="429"/>
      </c>
      <c r="T516" s="103">
        <f t="shared" si="429"/>
      </c>
      <c r="U516" s="103">
        <f t="shared" si="429"/>
      </c>
    </row>
    <row r="517" spans="2:22" ht="3" customHeight="1" x14ac:dyDescent="0.3"/>
    <row r="518" spans="2:22" ht="18.600000000000001" thickBot="1" x14ac:dyDescent="0.4">
      <c r="C518" s="24" t="s">
        <v>447</v>
      </c>
      <c r="J518" s="104">
        <f>J188</f>
      </c>
      <c r="K518" s="104">
        <f>K188</f>
      </c>
      <c r="L518" s="104">
        <f t="shared" ref="L518:U518" si="430">L516+L508</f>
      </c>
      <c r="M518" s="104">
        <f t="shared" si="430"/>
      </c>
      <c r="N518" s="104">
        <f t="shared" si="430"/>
      </c>
      <c r="O518" s="104">
        <f t="shared" si="430"/>
      </c>
      <c r="P518" s="104">
        <f t="shared" si="430"/>
      </c>
      <c r="Q518" s="104">
        <f t="shared" si="430"/>
      </c>
      <c r="R518" s="104">
        <f t="shared" si="430"/>
      </c>
      <c r="S518" s="104">
        <f t="shared" si="430"/>
      </c>
      <c r="T518" s="104">
        <f t="shared" si="430"/>
      </c>
      <c r="U518" s="104">
        <f t="shared" si="430"/>
      </c>
    </row>
    <row r="519" spans="2:22" ht="15" thickTop="1" x14ac:dyDescent="0.3"/>
    <row r="521" spans="2:22" x14ac:dyDescent="0.3">
      <c r="U521" s="227" t="str">
        <f>$U$2</f>
      </c>
    </row>
    <row r="522" spans="2:22" ht="18" x14ac:dyDescent="0.35">
      <c r="B522" s="148" t="str">
        <f>'Assumptions&amp;Scenario'!$K$10</f>
      </c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</row>
    <row r="523" spans="2:22" ht="18" thickBot="1" x14ac:dyDescent="0.35">
      <c r="B523" s="47" t="s">
        <v>449</v>
      </c>
      <c r="C523" s="48"/>
      <c r="D523" s="48"/>
      <c r="E523" s="48"/>
      <c r="F523" s="48"/>
      <c r="G523" s="48"/>
      <c r="H523" s="49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</row>
    <row r="524" spans="2:22" ht="15" thickBot="1" x14ac:dyDescent="0.35">
      <c r="C524" s="2"/>
      <c r="D524" s="2"/>
      <c r="E524" s="2"/>
      <c r="F524" s="2"/>
      <c r="L524" s="42" t="s">
        <v>141</v>
      </c>
      <c r="M524" s="42"/>
      <c r="N524" s="42"/>
      <c r="O524" s="42"/>
      <c r="P524" s="42"/>
      <c r="Q524" s="42"/>
      <c r="R524" s="42"/>
      <c r="S524" s="42"/>
      <c r="T524" s="42"/>
      <c r="U524" s="42"/>
    </row>
    <row r="525" spans="2:22" ht="16.2" thickTop="1" x14ac:dyDescent="0.3">
      <c r="C525" s="43" t="s">
        <v>389</v>
      </c>
      <c r="D525" s="43"/>
      <c r="E525" s="43"/>
      <c r="F525" s="43"/>
      <c r="G525" s="43"/>
      <c r="H525" s="44"/>
      <c r="I525" s="44"/>
      <c r="J525" s="44" t="str">
        <f>"FY"&amp;TEXT(RIGHT(K525,2)-(COLUMN(K525)-COLUMN()),"00")</f>
      </c>
      <c r="K525" s="44" t="str">
        <f>"FY"&amp;TEXT(DATE(YEAR('Data Sheet'!$K$16)+(MONTH('Data Sheet'!$K$16)&gt;3),1,1),"YY")</f>
      </c>
      <c r="L525" s="44" t="str">
        <f t="shared" ref="L525" si="431">"FY"&amp;TEXT(RIGHT(K525,2)+COLUMN()-COLUMN(K525),"00")</f>
      </c>
      <c r="M525" s="44" t="str">
        <f t="shared" ref="M525" si="432">"FY"&amp;TEXT(RIGHT(L525,2)+COLUMN()-COLUMN(L525),"00")</f>
      </c>
      <c r="N525" s="44" t="str">
        <f t="shared" ref="N525" si="433">"FY"&amp;TEXT(RIGHT(M525,2)+COLUMN()-COLUMN(M525),"00")</f>
      </c>
      <c r="O525" s="44" t="str">
        <f t="shared" ref="O525" si="434">"FY"&amp;TEXT(RIGHT(N525,2)+COLUMN()-COLUMN(N525),"00")</f>
      </c>
      <c r="P525" s="44" t="str">
        <f t="shared" ref="P525" si="435">"FY"&amp;TEXT(RIGHT(O525,2)+COLUMN()-COLUMN(O525),"00")</f>
      </c>
      <c r="Q525" s="44" t="str">
        <f t="shared" ref="Q525" si="436">"FY"&amp;TEXT(RIGHT(P525,2)+COLUMN()-COLUMN(P525),"00")</f>
      </c>
      <c r="R525" s="44" t="str">
        <f t="shared" ref="R525" si="437">"FY"&amp;TEXT(RIGHT(Q525,2)+COLUMN()-COLUMN(Q525),"00")</f>
      </c>
      <c r="S525" s="44" t="str">
        <f t="shared" ref="S525" si="438">"FY"&amp;TEXT(RIGHT(R525,2)+COLUMN()-COLUMN(R525),"00")</f>
      </c>
      <c r="T525" s="44" t="str">
        <f t="shared" ref="T525" si="439">"FY"&amp;TEXT(RIGHT(S525,2)+COLUMN()-COLUMN(S525),"00")</f>
      </c>
      <c r="U525" s="44" t="str">
        <f t="shared" ref="U525" si="440">"FY"&amp;TEXT(RIGHT(T525,2)+COLUMN()-COLUMN(T525),"00")</f>
      </c>
    </row>
    <row r="526" spans="2:22" ht="3" customHeight="1" x14ac:dyDescent="0.3"/>
    <row r="527" spans="2:22" ht="3" customHeight="1" x14ac:dyDescent="0.3"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2:22" ht="3" customHeight="1" x14ac:dyDescent="0.3"/>
    <row r="529" spans="3:21" ht="18" x14ac:dyDescent="0.35">
      <c r="C529" s="24" t="s">
        <v>290</v>
      </c>
      <c r="H529" s="77" t="str">
        <f t="shared" ref="H529" si="441">$H$23</f>
      </c>
    </row>
    <row r="530" spans="3:21" x14ac:dyDescent="0.3">
      <c r="D530" t="s">
        <v>432</v>
      </c>
      <c r="J530" s="40"/>
      <c r="K530" s="40"/>
      <c r="L530" s="40">
        <f>K532</f>
      </c>
      <c r="M530" s="40">
        <f t="shared" ref="M530:U530" si="442">L532</f>
      </c>
      <c r="N530" s="40">
        <f t="shared" si="442"/>
      </c>
      <c r="O530" s="40">
        <f t="shared" si="442"/>
      </c>
      <c r="P530" s="40">
        <f t="shared" si="442"/>
      </c>
      <c r="Q530" s="40">
        <f t="shared" si="442"/>
      </c>
      <c r="R530" s="40">
        <f t="shared" si="442"/>
      </c>
      <c r="S530" s="40">
        <f t="shared" si="442"/>
      </c>
      <c r="T530" s="40">
        <f t="shared" si="442"/>
      </c>
      <c r="U530" s="40">
        <f t="shared" si="442"/>
      </c>
    </row>
    <row r="531" spans="3:21" x14ac:dyDescent="0.3">
      <c r="D531" t="s">
        <v>450</v>
      </c>
      <c r="J531" s="151"/>
      <c r="K531" s="151"/>
      <c r="L531" s="151">
        <f>'Assumptions&amp;Scenario'!L79</f>
      </c>
      <c r="M531" s="151">
        <f>'Assumptions&amp;Scenario'!M79</f>
      </c>
      <c r="N531" s="151">
        <f>'Assumptions&amp;Scenario'!N79</f>
      </c>
      <c r="O531" s="151">
        <f>'Assumptions&amp;Scenario'!O79</f>
      </c>
      <c r="P531" s="151">
        <f>'Assumptions&amp;Scenario'!P79</f>
      </c>
      <c r="Q531" s="151">
        <f>'Assumptions&amp;Scenario'!Q79</f>
      </c>
      <c r="R531" s="151">
        <f>'Assumptions&amp;Scenario'!R79</f>
      </c>
      <c r="S531" s="151">
        <f>'Assumptions&amp;Scenario'!S79</f>
      </c>
      <c r="T531" s="151">
        <f>'Assumptions&amp;Scenario'!T79</f>
      </c>
      <c r="U531" s="151">
        <f>'Assumptions&amp;Scenario'!U79</f>
      </c>
    </row>
    <row r="532" spans="3:21" ht="18" x14ac:dyDescent="0.35">
      <c r="D532" s="24" t="s">
        <v>434</v>
      </c>
      <c r="J532" s="193"/>
      <c r="K532" s="193">
        <f>K372</f>
      </c>
      <c r="L532" s="193">
        <f>SUM(L530:L531)</f>
      </c>
      <c r="M532" s="193">
        <f t="shared" ref="M532:U532" si="443">SUM(M530:M531)</f>
      </c>
      <c r="N532" s="193">
        <f t="shared" si="443"/>
      </c>
      <c r="O532" s="193">
        <f t="shared" si="443"/>
      </c>
      <c r="P532" s="193">
        <f t="shared" si="443"/>
      </c>
      <c r="Q532" s="193">
        <f t="shared" si="443"/>
      </c>
      <c r="R532" s="193">
        <f t="shared" si="443"/>
      </c>
      <c r="S532" s="193">
        <f t="shared" si="443"/>
      </c>
      <c r="T532" s="193">
        <f t="shared" si="443"/>
      </c>
      <c r="U532" s="193">
        <f t="shared" si="443"/>
      </c>
    </row>
    <row r="533" spans="3:21" x14ac:dyDescent="0.3">
      <c r="D533" t="s">
        <v>17</v>
      </c>
      <c r="J533" s="71"/>
      <c r="K533" s="71"/>
      <c r="L533" s="151">
        <f>'Assumptions&amp;Scenario'!L81</f>
      </c>
      <c r="M533" s="151">
        <f>'Assumptions&amp;Scenario'!M81</f>
      </c>
      <c r="N533" s="151">
        <f>'Assumptions&amp;Scenario'!N81</f>
      </c>
      <c r="O533" s="151">
        <f>'Assumptions&amp;Scenario'!O81</f>
      </c>
      <c r="P533" s="151">
        <f>'Assumptions&amp;Scenario'!P81</f>
      </c>
      <c r="Q533" s="151">
        <f>'Assumptions&amp;Scenario'!Q81</f>
      </c>
      <c r="R533" s="151">
        <f>'Assumptions&amp;Scenario'!R81</f>
      </c>
      <c r="S533" s="151">
        <f>'Assumptions&amp;Scenario'!S81</f>
      </c>
      <c r="T533" s="151">
        <f>'Assumptions&amp;Scenario'!T81</f>
      </c>
      <c r="U533" s="151">
        <f>'Assumptions&amp;Scenario'!U81</f>
      </c>
    </row>
    <row r="534" spans="3:21" x14ac:dyDescent="0.3">
      <c r="D534" t="s">
        <v>451</v>
      </c>
      <c r="J534" s="71"/>
      <c r="K534" s="71">
        <f>'Assumptions&amp;Scenario'!U42</f>
      </c>
      <c r="L534" s="71">
        <f>K534+L531/L533</f>
      </c>
      <c r="M534" s="71">
        <f t="shared" ref="M534:U534" si="444">L534+M531/M533</f>
      </c>
      <c r="N534" s="71">
        <f t="shared" si="444"/>
      </c>
      <c r="O534" s="71">
        <f t="shared" si="444"/>
      </c>
      <c r="P534" s="71">
        <f t="shared" si="444"/>
      </c>
      <c r="Q534" s="71">
        <f t="shared" si="444"/>
      </c>
      <c r="R534" s="71">
        <f t="shared" si="444"/>
      </c>
      <c r="S534" s="71">
        <f t="shared" si="444"/>
      </c>
      <c r="T534" s="71">
        <f t="shared" si="444"/>
      </c>
      <c r="U534" s="71">
        <f t="shared" si="444"/>
      </c>
    </row>
    <row r="536" spans="3:21" x14ac:dyDescent="0.3">
      <c r="D536" t="s">
        <v>452</v>
      </c>
      <c r="J536" s="184"/>
      <c r="K536" s="184"/>
      <c r="L536" s="184">
        <f>'Assumptions&amp;Scenario'!U43</f>
      </c>
      <c r="M536" s="25">
        <f>L536</f>
      </c>
      <c r="N536" s="25">
        <f t="shared" ref="N536:U536" si="445">M536</f>
      </c>
      <c r="O536" s="25">
        <f t="shared" si="445"/>
      </c>
      <c r="P536" s="25">
        <f t="shared" si="445"/>
      </c>
      <c r="Q536" s="25">
        <f t="shared" si="445"/>
      </c>
      <c r="R536" s="25">
        <f t="shared" si="445"/>
      </c>
      <c r="S536" s="25">
        <f t="shared" si="445"/>
      </c>
      <c r="T536" s="25">
        <f t="shared" si="445"/>
      </c>
      <c r="U536" s="25">
        <f t="shared" si="445"/>
      </c>
    </row>
    <row r="537" spans="3:21" x14ac:dyDescent="0.3">
      <c r="D537" t="s">
        <v>238</v>
      </c>
      <c r="J537" s="40"/>
      <c r="K537" s="40"/>
      <c r="L537" s="40">
        <f>L197</f>
      </c>
      <c r="M537" s="40">
        <f t="shared" ref="M537:U537" si="446">M197</f>
      </c>
      <c r="N537" s="40">
        <f t="shared" si="446"/>
      </c>
      <c r="O537" s="40">
        <f t="shared" si="446"/>
      </c>
      <c r="P537" s="40">
        <f t="shared" si="446"/>
      </c>
      <c r="Q537" s="40">
        <f t="shared" si="446"/>
      </c>
      <c r="R537" s="40">
        <f t="shared" si="446"/>
      </c>
      <c r="S537" s="40">
        <f t="shared" si="446"/>
      </c>
      <c r="T537" s="40">
        <f t="shared" si="446"/>
      </c>
      <c r="U537" s="40">
        <f t="shared" si="446"/>
      </c>
    </row>
    <row r="538" spans="3:21" ht="18.600000000000001" thickBot="1" x14ac:dyDescent="0.4">
      <c r="D538" s="24" t="s">
        <v>453</v>
      </c>
      <c r="J538" s="104"/>
      <c r="K538" s="104"/>
      <c r="L538" s="104">
        <f>L537*L536</f>
      </c>
      <c r="M538" s="104">
        <f t="shared" ref="M538:U538" si="447">M537*M536</f>
      </c>
      <c r="N538" s="104">
        <f t="shared" si="447"/>
      </c>
      <c r="O538" s="104">
        <f t="shared" si="447"/>
      </c>
      <c r="P538" s="104">
        <f t="shared" si="447"/>
      </c>
      <c r="Q538" s="104">
        <f t="shared" si="447"/>
      </c>
      <c r="R538" s="104">
        <f t="shared" si="447"/>
      </c>
      <c r="S538" s="104">
        <f t="shared" si="447"/>
      </c>
      <c r="T538" s="104">
        <f t="shared" si="447"/>
      </c>
      <c r="U538" s="104">
        <f t="shared" si="447"/>
      </c>
    </row>
    <row r="539" spans="3:21" ht="15" thickTop="1" x14ac:dyDescent="0.3"/>
    <row r="541" spans="3:21" ht="18" x14ac:dyDescent="0.35">
      <c r="C541" s="24" t="s">
        <v>85</v>
      </c>
    </row>
    <row r="542" spans="3:21" x14ac:dyDescent="0.3">
      <c r="D542" t="s">
        <v>432</v>
      </c>
      <c r="J542" s="40"/>
      <c r="K542" s="40"/>
      <c r="L542" s="40">
        <f>K545</f>
      </c>
      <c r="M542" s="40">
        <f t="shared" ref="M542:U542" si="448">L545</f>
      </c>
      <c r="N542" s="40">
        <f t="shared" si="448"/>
      </c>
      <c r="O542" s="40">
        <f t="shared" si="448"/>
      </c>
      <c r="P542" s="40">
        <f t="shared" si="448"/>
      </c>
      <c r="Q542" s="40">
        <f t="shared" si="448"/>
      </c>
      <c r="R542" s="40">
        <f t="shared" si="448"/>
      </c>
      <c r="S542" s="40">
        <f t="shared" si="448"/>
      </c>
      <c r="T542" s="40">
        <f t="shared" si="448"/>
      </c>
      <c r="U542" s="40">
        <f t="shared" si="448"/>
      </c>
    </row>
    <row r="543" spans="3:21" x14ac:dyDescent="0.3">
      <c r="D543" t="s">
        <v>238</v>
      </c>
      <c r="J543" s="40"/>
      <c r="K543" s="40"/>
      <c r="L543" s="40">
        <f>L537</f>
      </c>
      <c r="M543" s="40">
        <f t="shared" ref="M543:U543" si="449">M537</f>
      </c>
      <c r="N543" s="40">
        <f t="shared" si="449"/>
      </c>
      <c r="O543" s="40">
        <f t="shared" si="449"/>
      </c>
      <c r="P543" s="40">
        <f t="shared" si="449"/>
      </c>
      <c r="Q543" s="40">
        <f t="shared" si="449"/>
      </c>
      <c r="R543" s="40">
        <f t="shared" si="449"/>
      </c>
      <c r="S543" s="40">
        <f t="shared" si="449"/>
      </c>
      <c r="T543" s="40">
        <f t="shared" si="449"/>
      </c>
      <c r="U543" s="40">
        <f t="shared" si="449"/>
      </c>
    </row>
    <row r="544" spans="3:21" x14ac:dyDescent="0.3">
      <c r="D544" t="s">
        <v>453</v>
      </c>
      <c r="J544" s="40"/>
      <c r="K544" s="40"/>
      <c r="L544" s="40">
        <f>-L538</f>
      </c>
      <c r="M544" s="40">
        <f t="shared" ref="M544:U544" si="450">-M538</f>
      </c>
      <c r="N544" s="40">
        <f t="shared" si="450"/>
      </c>
      <c r="O544" s="40">
        <f t="shared" si="450"/>
      </c>
      <c r="P544" s="40">
        <f t="shared" si="450"/>
      </c>
      <c r="Q544" s="40">
        <f t="shared" si="450"/>
      </c>
      <c r="R544" s="40">
        <f t="shared" si="450"/>
      </c>
      <c r="S544" s="40">
        <f t="shared" si="450"/>
      </c>
      <c r="T544" s="40">
        <f t="shared" si="450"/>
      </c>
      <c r="U544" s="40">
        <f t="shared" si="450"/>
      </c>
    </row>
    <row r="545" spans="3:21" ht="18.600000000000001" thickBot="1" x14ac:dyDescent="0.4">
      <c r="D545" s="24" t="s">
        <v>434</v>
      </c>
      <c r="J545" s="104"/>
      <c r="K545" s="104">
        <f>K373</f>
      </c>
      <c r="L545" s="104">
        <f>SUM(L542:L544)</f>
      </c>
      <c r="M545" s="104">
        <f t="shared" ref="M545:U545" si="451">SUM(M542:M544)</f>
      </c>
      <c r="N545" s="104">
        <f t="shared" si="451"/>
      </c>
      <c r="O545" s="104">
        <f t="shared" si="451"/>
      </c>
      <c r="P545" s="104">
        <f t="shared" si="451"/>
      </c>
      <c r="Q545" s="104">
        <f t="shared" si="451"/>
      </c>
      <c r="R545" s="104">
        <f t="shared" si="451"/>
      </c>
      <c r="S545" s="104">
        <f t="shared" si="451"/>
      </c>
      <c r="T545" s="104">
        <f t="shared" si="451"/>
      </c>
      <c r="U545" s="104">
        <f t="shared" si="451"/>
      </c>
    </row>
    <row r="546" spans="3:21" ht="15" thickTop="1" x14ac:dyDescent="0.3"/>
    <row r="547" spans="3:21" x14ac:dyDescent="0.3">
      <c r="C547" t="s">
        <v>346</v>
      </c>
      <c r="J547" s="40">
        <f>J347+J361</f>
      </c>
      <c r="K547" s="40">
        <f>K347+K361</f>
      </c>
      <c r="L547" s="40">
        <f>L347+L361</f>
      </c>
      <c r="M547" s="40">
        <f t="shared" ref="M547:U547" si="452">M347+M361</f>
      </c>
      <c r="N547" s="40">
        <f t="shared" si="452"/>
      </c>
      <c r="O547" s="40">
        <f t="shared" si="452"/>
      </c>
      <c r="P547" s="40">
        <f t="shared" si="452"/>
      </c>
      <c r="Q547" s="40">
        <f t="shared" si="452"/>
      </c>
      <c r="R547" s="40">
        <f t="shared" si="452"/>
      </c>
      <c r="S547" s="40">
        <f t="shared" si="452"/>
      </c>
      <c r="T547" s="40">
        <f t="shared" si="452"/>
      </c>
      <c r="U547" s="40">
        <f t="shared" si="452"/>
      </c>
    </row>
    <row r="548" spans="3:21" ht="18" x14ac:dyDescent="0.35">
      <c r="C548" s="24" t="s">
        <v>347</v>
      </c>
      <c r="J548" s="40"/>
      <c r="K548" s="40">
        <f>AVERAGE(J547:K547)</f>
      </c>
      <c r="L548" s="40">
        <f>AVERAGE(K547:L547)</f>
      </c>
      <c r="M548" s="40">
        <f t="shared" ref="M548:U548" si="453">AVERAGE(L547:M547)</f>
      </c>
      <c r="N548" s="40">
        <f t="shared" si="453"/>
      </c>
      <c r="O548" s="40">
        <f t="shared" si="453"/>
      </c>
      <c r="P548" s="40">
        <f t="shared" si="453"/>
      </c>
      <c r="Q548" s="40">
        <f t="shared" si="453"/>
      </c>
      <c r="R548" s="40">
        <f t="shared" si="453"/>
      </c>
      <c r="S548" s="40">
        <f t="shared" si="453"/>
      </c>
      <c r="T548" s="40">
        <f t="shared" si="453"/>
      </c>
      <c r="U548" s="40">
        <f t="shared" si="453"/>
      </c>
    </row>
    <row r="550" spans="3:21" x14ac:dyDescent="0.3">
      <c r="C550" t="s">
        <v>454</v>
      </c>
      <c r="J550" s="40">
        <f>J376</f>
      </c>
      <c r="K550" s="40">
        <f>K376</f>
      </c>
      <c r="L550" s="40">
        <f t="shared" ref="L550:U550" si="454">L376</f>
      </c>
      <c r="M550" s="40">
        <f t="shared" si="454"/>
      </c>
      <c r="N550" s="40">
        <f t="shared" si="454"/>
      </c>
      <c r="O550" s="40">
        <f t="shared" si="454"/>
      </c>
      <c r="P550" s="40">
        <f t="shared" si="454"/>
      </c>
      <c r="Q550" s="40">
        <f t="shared" si="454"/>
      </c>
      <c r="R550" s="40">
        <f t="shared" si="454"/>
      </c>
      <c r="S550" s="40">
        <f t="shared" si="454"/>
      </c>
      <c r="T550" s="40">
        <f t="shared" si="454"/>
      </c>
      <c r="U550" s="40">
        <f t="shared" si="454"/>
      </c>
    </row>
    <row r="551" spans="3:21" ht="18" x14ac:dyDescent="0.35">
      <c r="C551" s="24" t="s">
        <v>320</v>
      </c>
      <c r="J551" s="40"/>
      <c r="K551" s="40">
        <f>AVERAGE(J550:K550)</f>
      </c>
      <c r="L551" s="40">
        <f>AVERAGE(K550:L550)</f>
      </c>
      <c r="M551" s="40">
        <f t="shared" ref="M551:U551" si="455">AVERAGE(L550:M550)</f>
      </c>
      <c r="N551" s="40">
        <f t="shared" si="455"/>
      </c>
      <c r="O551" s="40">
        <f t="shared" si="455"/>
      </c>
      <c r="P551" s="40">
        <f t="shared" si="455"/>
      </c>
      <c r="Q551" s="40">
        <f t="shared" si="455"/>
      </c>
      <c r="R551" s="40">
        <f t="shared" si="455"/>
      </c>
      <c r="S551" s="40">
        <f t="shared" si="455"/>
      </c>
      <c r="T551" s="40">
        <f t="shared" si="455"/>
      </c>
      <c r="U551" s="40">
        <f t="shared" si="455"/>
      </c>
    </row>
    <row r="553" spans="3:21" x14ac:dyDescent="0.3">
      <c r="C553" t="s">
        <v>455</v>
      </c>
      <c r="J553" s="40">
        <f>J376+J370-J307-J308</f>
      </c>
      <c r="K553" s="40">
        <f>K376+K370-K307-K308</f>
      </c>
      <c r="L553" s="40">
        <f>L376+L370-L307-L308</f>
      </c>
      <c r="M553" s="40">
        <f t="shared" ref="M553:U553" si="456">M376+M370-M307-M308</f>
      </c>
      <c r="N553" s="40">
        <f t="shared" si="456"/>
      </c>
      <c r="O553" s="40">
        <f t="shared" si="456"/>
      </c>
      <c r="P553" s="40">
        <f t="shared" si="456"/>
      </c>
      <c r="Q553" s="40">
        <f t="shared" si="456"/>
      </c>
      <c r="R553" s="40">
        <f t="shared" si="456"/>
      </c>
      <c r="S553" s="40">
        <f t="shared" si="456"/>
      </c>
      <c r="T553" s="40">
        <f t="shared" si="456"/>
      </c>
      <c r="U553" s="40">
        <f t="shared" si="456"/>
      </c>
    </row>
    <row r="554" spans="3:21" ht="18" x14ac:dyDescent="0.35">
      <c r="C554" s="24" t="s">
        <v>319</v>
      </c>
      <c r="J554" s="40"/>
      <c r="K554" s="40">
        <f>AVERAGE(J553:K553)</f>
      </c>
      <c r="L554" s="40">
        <f>AVERAGE(K553:L553)</f>
      </c>
      <c r="M554" s="40">
        <f t="shared" ref="M554:U554" si="457">AVERAGE(L553:M553)</f>
      </c>
      <c r="N554" s="40">
        <f t="shared" si="457"/>
      </c>
      <c r="O554" s="40">
        <f t="shared" si="457"/>
      </c>
      <c r="P554" s="40">
        <f t="shared" si="457"/>
      </c>
      <c r="Q554" s="40">
        <f t="shared" si="457"/>
      </c>
      <c r="R554" s="40">
        <f t="shared" si="457"/>
      </c>
      <c r="S554" s="40">
        <f t="shared" si="457"/>
      </c>
      <c r="T554" s="40">
        <f t="shared" si="457"/>
      </c>
      <c r="U554" s="40">
        <f t="shared" si="457"/>
      </c>
    </row>
    <row r="555" spans="3:21" x14ac:dyDescent="0.3">
      <c r="C555" s="121" t="s">
        <v>323</v>
      </c>
      <c r="D555" s="113"/>
      <c r="E555" s="113"/>
      <c r="F555" s="113"/>
      <c r="G555" s="113"/>
      <c r="H555" s="113"/>
      <c r="I555" s="113"/>
      <c r="J555" s="242">
        <f t="shared" ref="J555:T555" si="458">IFERROR(J176/J554, 0)</f>
      </c>
      <c r="K555" s="242">
        <f t="shared" si="458"/>
      </c>
      <c r="L555" s="242">
        <f t="shared" si="458"/>
      </c>
      <c r="M555" s="242">
        <f t="shared" si="458"/>
      </c>
      <c r="N555" s="242">
        <f t="shared" si="458"/>
      </c>
      <c r="O555" s="242">
        <f t="shared" si="458"/>
      </c>
      <c r="P555" s="242">
        <f t="shared" si="458"/>
      </c>
      <c r="Q555" s="242">
        <f t="shared" si="458"/>
      </c>
      <c r="R555" s="242">
        <f t="shared" si="458"/>
      </c>
      <c r="S555" s="242">
        <f t="shared" si="458"/>
      </c>
      <c r="T555" s="242">
        <f t="shared" si="458"/>
      </c>
      <c r="U555" s="243">
        <f>IFERROR(U176/U554, 0)</f>
      </c>
    </row>
    <row r="556" spans="3:21" x14ac:dyDescent="0.3">
      <c r="C556" s="118" t="s">
        <v>348</v>
      </c>
      <c r="J556" s="195">
        <f t="shared" ref="J556:U556" si="459">IFERROR(J548/J551, 0)</f>
      </c>
      <c r="K556" s="195">
        <f t="shared" si="459"/>
      </c>
      <c r="L556" s="195">
        <f t="shared" si="459"/>
      </c>
      <c r="M556" s="195">
        <f t="shared" si="459"/>
      </c>
      <c r="N556" s="195">
        <f t="shared" si="459"/>
      </c>
      <c r="O556" s="195">
        <f t="shared" si="459"/>
      </c>
      <c r="P556" s="195">
        <f t="shared" si="459"/>
      </c>
      <c r="Q556" s="195">
        <f t="shared" si="459"/>
      </c>
      <c r="R556" s="195">
        <f t="shared" si="459"/>
      </c>
      <c r="S556" s="195">
        <f t="shared" si="459"/>
      </c>
      <c r="T556" s="195">
        <f t="shared" si="459"/>
      </c>
      <c r="U556" s="194">
        <f t="shared" si="459"/>
      </c>
    </row>
    <row r="557" spans="3:21" x14ac:dyDescent="0.3">
      <c r="C557" s="118" t="s">
        <v>349</v>
      </c>
      <c r="J557" s="195">
        <f t="shared" ref="J557:U557" si="460">IFERROR(J548/J554,0)</f>
      </c>
      <c r="K557" s="195">
        <f t="shared" si="460"/>
      </c>
      <c r="L557" s="195">
        <f t="shared" si="460"/>
      </c>
      <c r="M557" s="195">
        <f t="shared" si="460"/>
      </c>
      <c r="N557" s="195">
        <f t="shared" si="460"/>
      </c>
      <c r="O557" s="195">
        <f t="shared" si="460"/>
      </c>
      <c r="P557" s="195">
        <f t="shared" si="460"/>
      </c>
      <c r="Q557" s="195">
        <f t="shared" si="460"/>
      </c>
      <c r="R557" s="195">
        <f t="shared" si="460"/>
      </c>
      <c r="S557" s="195">
        <f t="shared" si="460"/>
      </c>
      <c r="T557" s="195">
        <f t="shared" si="460"/>
      </c>
      <c r="U557" s="194">
        <f t="shared" si="460"/>
      </c>
    </row>
    <row r="558" spans="3:21" x14ac:dyDescent="0.3">
      <c r="C558" s="118" t="s">
        <v>326</v>
      </c>
      <c r="J558" s="195">
        <f t="shared" ref="J558:K558" si="461">IFERROR(J185*(1-J196)/J554, 0)</f>
      </c>
      <c r="K558" s="195">
        <f t="shared" si="461"/>
      </c>
      <c r="L558" s="195">
        <f>IFERROR(L185*(1-L196)/L554, 0)</f>
      </c>
      <c r="M558" s="195">
        <f t="shared" ref="M558:U558" si="462">IFERROR(M185*(1-M196)/M554, 0)</f>
      </c>
      <c r="N558" s="195">
        <f t="shared" si="462"/>
      </c>
      <c r="O558" s="195">
        <f t="shared" si="462"/>
      </c>
      <c r="P558" s="195">
        <f t="shared" si="462"/>
      </c>
      <c r="Q558" s="195">
        <f t="shared" si="462"/>
      </c>
      <c r="R558" s="195">
        <f t="shared" si="462"/>
      </c>
      <c r="S558" s="195">
        <f t="shared" si="462"/>
      </c>
      <c r="T558" s="195">
        <f t="shared" si="462"/>
      </c>
      <c r="U558" s="194">
        <f t="shared" si="462"/>
      </c>
    </row>
    <row r="559" spans="3:21" x14ac:dyDescent="0.3">
      <c r="C559" s="118" t="s">
        <v>327</v>
      </c>
      <c r="J559" s="195">
        <f>IFERROR((J185-J180)*(1-J196)/J554, 0)</f>
      </c>
      <c r="K559" s="195">
        <f>IFERROR((K185-K180)*(1-K196)/K554, 0)</f>
      </c>
      <c r="L559" s="195">
        <f>IFERROR((L185-L180)*(1-L196)/L554, 0)</f>
      </c>
      <c r="M559" s="195">
        <f t="shared" ref="M559:U559" si="463">IFERROR((M185-M180)*(1-M196)/M554, 0)</f>
      </c>
      <c r="N559" s="195">
        <f t="shared" si="463"/>
      </c>
      <c r="O559" s="195">
        <f t="shared" si="463"/>
      </c>
      <c r="P559" s="195">
        <f t="shared" si="463"/>
      </c>
      <c r="Q559" s="195">
        <f t="shared" si="463"/>
      </c>
      <c r="R559" s="195">
        <f t="shared" si="463"/>
      </c>
      <c r="S559" s="195">
        <f t="shared" si="463"/>
      </c>
      <c r="T559" s="195">
        <f t="shared" si="463"/>
      </c>
      <c r="U559" s="194">
        <f t="shared" si="463"/>
      </c>
    </row>
    <row r="560" spans="3:21" x14ac:dyDescent="0.3">
      <c r="C560" s="122" t="s">
        <v>42</v>
      </c>
      <c r="D560" s="120"/>
      <c r="E560" s="120"/>
      <c r="F560" s="120"/>
      <c r="G560" s="120"/>
      <c r="H560" s="120"/>
      <c r="I560" s="120"/>
      <c r="J560" s="131">
        <f t="shared" ref="J560:K560" si="464">IFERROR(J537/J551, 0)</f>
      </c>
      <c r="K560" s="131">
        <f t="shared" si="464"/>
      </c>
      <c r="L560" s="131">
        <f>IFERROR(L537/L551, 0)</f>
      </c>
      <c r="M560" s="131">
        <f t="shared" ref="M560:U560" si="465">IFERROR(M537/M551, 0)</f>
      </c>
      <c r="N560" s="131">
        <f t="shared" si="465"/>
      </c>
      <c r="O560" s="131">
        <f t="shared" si="465"/>
      </c>
      <c r="P560" s="131">
        <f t="shared" si="465"/>
      </c>
      <c r="Q560" s="131">
        <f t="shared" si="465"/>
      </c>
      <c r="R560" s="131">
        <f t="shared" si="465"/>
      </c>
      <c r="S560" s="131">
        <f t="shared" si="465"/>
      </c>
      <c r="T560" s="131">
        <f t="shared" si="465"/>
      </c>
      <c r="U560" s="132">
        <f t="shared" si="465"/>
      </c>
    </row>
    <row r="563" spans="2:22" x14ac:dyDescent="0.3">
      <c r="U563" s="227" t="str">
        <f>$U$2</f>
      </c>
    </row>
    <row r="564" spans="2:22" ht="18" x14ac:dyDescent="0.35">
      <c r="B564" s="148" t="str">
        <f>'Assumptions&amp;Scenario'!$K$10</f>
      </c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</row>
    <row r="565" spans="2:22" ht="18" thickBot="1" x14ac:dyDescent="0.35">
      <c r="B565" s="47" t="s">
        <v>489</v>
      </c>
      <c r="C565" s="48"/>
      <c r="D565" s="48"/>
      <c r="E565" s="48"/>
      <c r="F565" s="48"/>
      <c r="G565" s="48"/>
      <c r="H565" s="49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</row>
    <row r="566" spans="2:22" ht="15" thickBot="1" x14ac:dyDescent="0.35">
      <c r="C566" s="2"/>
      <c r="D566" s="2"/>
      <c r="E566" s="2"/>
      <c r="F566" s="2"/>
      <c r="L566" s="42" t="s">
        <v>141</v>
      </c>
      <c r="M566" s="42"/>
      <c r="N566" s="42"/>
      <c r="O566" s="42"/>
      <c r="P566" s="42"/>
      <c r="Q566" s="42"/>
      <c r="R566" s="42"/>
      <c r="S566" s="42"/>
      <c r="T566" s="42"/>
      <c r="U566" s="42"/>
    </row>
    <row r="567" spans="2:22" ht="16.2" thickTop="1" x14ac:dyDescent="0.3">
      <c r="C567" s="43" t="s">
        <v>389</v>
      </c>
      <c r="D567" s="43"/>
      <c r="E567" s="43"/>
      <c r="F567" s="43"/>
      <c r="G567" s="43"/>
      <c r="H567" s="44"/>
      <c r="I567" s="44"/>
      <c r="J567" s="44" t="str">
        <f>"FY"&amp;TEXT(RIGHT(K567,2)-(COLUMN(K567)-COLUMN()),"00")</f>
      </c>
      <c r="K567" s="44" t="str">
        <f>"FY"&amp;TEXT(DATE(YEAR('Data Sheet'!$K$16)+(MONTH('Data Sheet'!$K$16)&gt;3),1,1),"YY")</f>
      </c>
      <c r="L567" s="44" t="str">
        <f t="shared" ref="L567" si="466">"FY"&amp;TEXT(RIGHT(K567,2)+COLUMN()-COLUMN(K567),"00")</f>
      </c>
      <c r="M567" s="44" t="str">
        <f t="shared" ref="M567" si="467">"FY"&amp;TEXT(RIGHT(L567,2)+COLUMN()-COLUMN(L567),"00")</f>
      </c>
      <c r="N567" s="44" t="str">
        <f t="shared" ref="N567" si="468">"FY"&amp;TEXT(RIGHT(M567,2)+COLUMN()-COLUMN(M567),"00")</f>
      </c>
      <c r="O567" s="44" t="str">
        <f t="shared" ref="O567" si="469">"FY"&amp;TEXT(RIGHT(N567,2)+COLUMN()-COLUMN(N567),"00")</f>
      </c>
      <c r="P567" s="44" t="str">
        <f t="shared" ref="P567" si="470">"FY"&amp;TEXT(RIGHT(O567,2)+COLUMN()-COLUMN(O567),"00")</f>
      </c>
      <c r="Q567" s="44" t="str">
        <f t="shared" ref="Q567" si="471">"FY"&amp;TEXT(RIGHT(P567,2)+COLUMN()-COLUMN(P567),"00")</f>
      </c>
      <c r="R567" s="44" t="str">
        <f t="shared" ref="R567" si="472">"FY"&amp;TEXT(RIGHT(Q567,2)+COLUMN()-COLUMN(Q567),"00")</f>
      </c>
      <c r="S567" s="44" t="str">
        <f t="shared" ref="S567" si="473">"FY"&amp;TEXT(RIGHT(R567,2)+COLUMN()-COLUMN(R567),"00")</f>
      </c>
      <c r="T567" s="44" t="str">
        <f t="shared" ref="T567" si="474">"FY"&amp;TEXT(RIGHT(S567,2)+COLUMN()-COLUMN(S567),"00")</f>
      </c>
      <c r="U567" s="44" t="str">
        <f t="shared" ref="U567" si="475">"FY"&amp;TEXT(RIGHT(T567,2)+COLUMN()-COLUMN(T567),"00")</f>
      </c>
    </row>
    <row r="568" spans="2:22" ht="3" customHeight="1" x14ac:dyDescent="0.3"/>
    <row r="569" spans="2:22" ht="3" customHeight="1" x14ac:dyDescent="0.3"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2:22" ht="3" customHeight="1" x14ac:dyDescent="0.3"/>
    <row r="571" spans="2:22" ht="18" x14ac:dyDescent="0.35">
      <c r="C571" s="24" t="s">
        <v>466</v>
      </c>
    </row>
    <row r="572" spans="2:22" x14ac:dyDescent="0.3">
      <c r="C572" s="2"/>
      <c r="D572" t="s">
        <v>83</v>
      </c>
      <c r="H572" s="77" t="str">
        <f t="shared" ref="H572" si="476">$H$23</f>
      </c>
      <c r="J572" s="40">
        <f t="shared" ref="J572:K572" si="477">J176</f>
      </c>
      <c r="K572" s="40">
        <f t="shared" si="477"/>
      </c>
      <c r="L572" s="40">
        <f t="shared" ref="L572:U572" si="478">L176</f>
      </c>
      <c r="M572" s="40">
        <f t="shared" si="478"/>
      </c>
      <c r="N572" s="40">
        <f t="shared" si="478"/>
      </c>
      <c r="O572" s="40">
        <f t="shared" si="478"/>
      </c>
      <c r="P572" s="40">
        <f t="shared" si="478"/>
      </c>
      <c r="Q572" s="40">
        <f t="shared" si="478"/>
      </c>
      <c r="R572" s="40">
        <f t="shared" si="478"/>
      </c>
      <c r="S572" s="40">
        <f t="shared" si="478"/>
      </c>
      <c r="T572" s="40">
        <f t="shared" si="478"/>
      </c>
      <c r="U572" s="40">
        <f t="shared" si="478"/>
      </c>
    </row>
    <row r="573" spans="2:22" x14ac:dyDescent="0.3">
      <c r="C573" s="2"/>
      <c r="D573" s="78" t="s">
        <v>108</v>
      </c>
      <c r="E573" s="78"/>
      <c r="F573" s="78"/>
      <c r="G573" s="78"/>
      <c r="H573" s="198"/>
      <c r="J573" s="92"/>
      <c r="K573" s="92">
        <f>IFERROR(K572/J572-1, 0)</f>
      </c>
      <c r="L573" s="92">
        <f>IFERROR(L572/K572-1, 0)</f>
      </c>
      <c r="M573" s="92">
        <f t="shared" ref="M573:U573" si="479">IFERROR(M572/L572-1, 0)</f>
      </c>
      <c r="N573" s="92">
        <f t="shared" si="479"/>
      </c>
      <c r="O573" s="92">
        <f t="shared" si="479"/>
      </c>
      <c r="P573" s="92">
        <f t="shared" si="479"/>
      </c>
      <c r="Q573" s="92">
        <f t="shared" si="479"/>
      </c>
      <c r="R573" s="92">
        <f t="shared" si="479"/>
      </c>
      <c r="S573" s="92">
        <f t="shared" si="479"/>
      </c>
      <c r="T573" s="92">
        <f t="shared" si="479"/>
      </c>
      <c r="U573" s="92">
        <f t="shared" si="479"/>
      </c>
    </row>
    <row r="574" spans="2:22" x14ac:dyDescent="0.3">
      <c r="D574" t="s">
        <v>74</v>
      </c>
      <c r="H574" s="77" t="str">
        <f t="shared" ref="H574" si="480">$H$23</f>
      </c>
      <c r="J574" s="40">
        <f t="shared" ref="J574:U575" si="481">J185</f>
      </c>
      <c r="K574" s="40">
        <f t="shared" si="481"/>
      </c>
      <c r="L574" s="40">
        <f>L185</f>
      </c>
      <c r="M574" s="40">
        <f t="shared" ref="M574:U574" si="482">M185</f>
      </c>
      <c r="N574" s="40">
        <f t="shared" si="482"/>
      </c>
      <c r="O574" s="40">
        <f t="shared" si="482"/>
      </c>
      <c r="P574" s="40">
        <f t="shared" si="482"/>
      </c>
      <c r="Q574" s="40">
        <f t="shared" si="482"/>
      </c>
      <c r="R574" s="40">
        <f t="shared" si="482"/>
      </c>
      <c r="S574" s="40">
        <f t="shared" si="482"/>
      </c>
      <c r="T574" s="40">
        <f t="shared" si="482"/>
      </c>
      <c r="U574" s="40">
        <f t="shared" si="482"/>
      </c>
    </row>
    <row r="575" spans="2:22" x14ac:dyDescent="0.3">
      <c r="D575" s="78" t="s">
        <v>234</v>
      </c>
      <c r="E575" s="78"/>
      <c r="F575" s="78"/>
      <c r="G575" s="78"/>
      <c r="H575" s="77"/>
      <c r="J575" s="92">
        <f>J186</f>
      </c>
      <c r="K575" s="92">
        <f t="shared" si="481"/>
      </c>
      <c r="L575" s="92">
        <f t="shared" si="481"/>
      </c>
      <c r="M575" s="92">
        <f t="shared" si="481"/>
      </c>
      <c r="N575" s="92">
        <f t="shared" si="481"/>
      </c>
      <c r="O575" s="92">
        <f t="shared" si="481"/>
      </c>
      <c r="P575" s="92">
        <f t="shared" si="481"/>
      </c>
      <c r="Q575" s="92">
        <f t="shared" si="481"/>
      </c>
      <c r="R575" s="92">
        <f t="shared" si="481"/>
      </c>
      <c r="S575" s="92">
        <f t="shared" si="481"/>
      </c>
      <c r="T575" s="92">
        <f t="shared" si="481"/>
      </c>
      <c r="U575" s="92">
        <f t="shared" si="481"/>
      </c>
    </row>
    <row r="576" spans="2:22" x14ac:dyDescent="0.3">
      <c r="D576" t="s">
        <v>40</v>
      </c>
      <c r="E576" s="78"/>
      <c r="F576" s="78"/>
      <c r="G576" s="78"/>
      <c r="H576" s="77" t="str">
        <f>$H$203</f>
      </c>
      <c r="J576" s="40">
        <f t="shared" ref="J576:K576" si="483">J203</f>
      </c>
      <c r="K576" s="40">
        <f t="shared" si="483"/>
      </c>
      <c r="L576" s="40">
        <f>L203</f>
      </c>
      <c r="M576" s="40">
        <f t="shared" ref="M576:U576" si="484">M203</f>
      </c>
      <c r="N576" s="40">
        <f t="shared" si="484"/>
      </c>
      <c r="O576" s="40">
        <f t="shared" si="484"/>
      </c>
      <c r="P576" s="40">
        <f t="shared" si="484"/>
      </c>
      <c r="Q576" s="40">
        <f t="shared" si="484"/>
      </c>
      <c r="R576" s="40">
        <f t="shared" si="484"/>
      </c>
      <c r="S576" s="40">
        <f t="shared" si="484"/>
      </c>
      <c r="T576" s="40">
        <f t="shared" si="484"/>
      </c>
      <c r="U576" s="40">
        <f t="shared" si="484"/>
      </c>
    </row>
    <row r="577" spans="4:21" x14ac:dyDescent="0.3">
      <c r="D577" s="78" t="s">
        <v>461</v>
      </c>
      <c r="E577" s="78"/>
      <c r="F577" s="78"/>
      <c r="G577" s="78"/>
      <c r="H577" s="78"/>
      <c r="J577" s="92"/>
      <c r="K577" s="92">
        <f>IFERROR(K576/J576-1, 0)</f>
      </c>
      <c r="L577" s="92">
        <f>IFERROR(L576/K576-1, 0)</f>
      </c>
      <c r="M577" s="92">
        <f t="shared" ref="M577:U577" si="485">IFERROR(M576/L576-1, 0)</f>
      </c>
      <c r="N577" s="92">
        <f t="shared" si="485"/>
      </c>
      <c r="O577" s="92">
        <f t="shared" si="485"/>
      </c>
      <c r="P577" s="92">
        <f t="shared" si="485"/>
      </c>
      <c r="Q577" s="92">
        <f t="shared" si="485"/>
      </c>
      <c r="R577" s="92">
        <f t="shared" si="485"/>
      </c>
      <c r="S577" s="92">
        <f t="shared" si="485"/>
      </c>
      <c r="T577" s="92">
        <f t="shared" si="485"/>
      </c>
      <c r="U577" s="92">
        <f t="shared" si="485"/>
      </c>
    </row>
    <row r="578" spans="4:21" x14ac:dyDescent="0.3">
      <c r="D578" t="s">
        <v>132</v>
      </c>
      <c r="J578" s="184"/>
      <c r="K578" s="184"/>
      <c r="L578" s="184">
        <f>L422</f>
      </c>
      <c r="M578" s="184">
        <f t="shared" ref="M578:U578" si="486">M422</f>
      </c>
      <c r="N578" s="184">
        <f t="shared" si="486"/>
      </c>
      <c r="O578" s="184">
        <f t="shared" si="486"/>
      </c>
      <c r="P578" s="184">
        <f t="shared" si="486"/>
      </c>
      <c r="Q578" s="184">
        <f t="shared" si="486"/>
      </c>
      <c r="R578" s="184">
        <f t="shared" si="486"/>
      </c>
      <c r="S578" s="184">
        <f t="shared" si="486"/>
      </c>
      <c r="T578" s="184">
        <f t="shared" si="486"/>
      </c>
      <c r="U578" s="184">
        <f t="shared" si="486"/>
      </c>
    </row>
    <row r="579" spans="4:21" ht="3" customHeight="1" x14ac:dyDescent="0.3"/>
    <row r="580" spans="4:21" x14ac:dyDescent="0.3">
      <c r="D580" t="s">
        <v>462</v>
      </c>
      <c r="J580" s="40"/>
      <c r="K580" s="40"/>
      <c r="L580" s="40">
        <f t="shared" ref="L580:U580" si="487">L574*(1-L578)</f>
      </c>
      <c r="M580" s="40">
        <f t="shared" si="487"/>
      </c>
      <c r="N580" s="40">
        <f t="shared" si="487"/>
      </c>
      <c r="O580" s="40">
        <f t="shared" si="487"/>
      </c>
      <c r="P580" s="40">
        <f t="shared" si="487"/>
      </c>
      <c r="Q580" s="40">
        <f t="shared" si="487"/>
      </c>
      <c r="R580" s="40">
        <f t="shared" si="487"/>
      </c>
      <c r="S580" s="40">
        <f t="shared" si="487"/>
      </c>
      <c r="T580" s="40">
        <f t="shared" si="487"/>
      </c>
      <c r="U580" s="40">
        <f t="shared" si="487"/>
      </c>
    </row>
    <row r="581" spans="4:21" x14ac:dyDescent="0.3">
      <c r="D581" t="s">
        <v>5</v>
      </c>
      <c r="J581" s="40"/>
      <c r="K581" s="40"/>
      <c r="L581" s="40">
        <f>L410</f>
      </c>
      <c r="M581" s="40">
        <f t="shared" ref="M581:U581" si="488">M410</f>
      </c>
      <c r="N581" s="40">
        <f t="shared" si="488"/>
      </c>
      <c r="O581" s="40">
        <f t="shared" si="488"/>
      </c>
      <c r="P581" s="40">
        <f t="shared" si="488"/>
      </c>
      <c r="Q581" s="40">
        <f t="shared" si="488"/>
      </c>
      <c r="R581" s="40">
        <f t="shared" si="488"/>
      </c>
      <c r="S581" s="40">
        <f t="shared" si="488"/>
      </c>
      <c r="T581" s="40">
        <f t="shared" si="488"/>
      </c>
      <c r="U581" s="40">
        <f t="shared" si="488"/>
      </c>
    </row>
    <row r="582" spans="4:21" x14ac:dyDescent="0.3">
      <c r="D582" t="s">
        <v>77</v>
      </c>
      <c r="J582" s="40"/>
      <c r="K582" s="40"/>
      <c r="L582" s="40">
        <f>L275</f>
      </c>
      <c r="M582" s="40">
        <f t="shared" ref="M582:U582" si="489">M275</f>
      </c>
      <c r="N582" s="40">
        <f t="shared" si="489"/>
      </c>
      <c r="O582" s="40">
        <f t="shared" si="489"/>
      </c>
      <c r="P582" s="40">
        <f t="shared" si="489"/>
      </c>
      <c r="Q582" s="40">
        <f t="shared" si="489"/>
      </c>
      <c r="R582" s="40">
        <f t="shared" si="489"/>
      </c>
      <c r="S582" s="40">
        <f t="shared" si="489"/>
      </c>
      <c r="T582" s="40">
        <f t="shared" si="489"/>
      </c>
      <c r="U582" s="40">
        <f t="shared" si="489"/>
      </c>
    </row>
    <row r="583" spans="4:21" x14ac:dyDescent="0.3">
      <c r="D583" t="s">
        <v>317</v>
      </c>
      <c r="J583" s="40"/>
      <c r="K583" s="40"/>
      <c r="L583" s="40">
        <f>L469</f>
      </c>
      <c r="M583" s="40">
        <f t="shared" ref="M583:U583" si="490">M469</f>
      </c>
      <c r="N583" s="40">
        <f t="shared" si="490"/>
      </c>
      <c r="O583" s="40">
        <f t="shared" si="490"/>
      </c>
      <c r="P583" s="40">
        <f t="shared" si="490"/>
      </c>
      <c r="Q583" s="40">
        <f t="shared" si="490"/>
      </c>
      <c r="R583" s="40">
        <f t="shared" si="490"/>
      </c>
      <c r="S583" s="40">
        <f t="shared" si="490"/>
      </c>
      <c r="T583" s="40">
        <f t="shared" si="490"/>
      </c>
      <c r="U583" s="40">
        <f t="shared" si="490"/>
      </c>
    </row>
    <row r="584" spans="4:21" ht="15" thickBot="1" x14ac:dyDescent="0.35">
      <c r="D584" s="2" t="s">
        <v>463</v>
      </c>
      <c r="J584" s="104"/>
      <c r="K584" s="104"/>
      <c r="L584" s="104">
        <f>SUM(L580:L583)</f>
      </c>
      <c r="M584" s="104">
        <f t="shared" ref="M584:U584" si="491">SUM(M580:M583)</f>
      </c>
      <c r="N584" s="104">
        <f t="shared" si="491"/>
      </c>
      <c r="O584" s="104">
        <f t="shared" si="491"/>
      </c>
      <c r="P584" s="104">
        <f t="shared" si="491"/>
      </c>
      <c r="Q584" s="104">
        <f t="shared" si="491"/>
      </c>
      <c r="R584" s="104">
        <f t="shared" si="491"/>
      </c>
      <c r="S584" s="104">
        <f t="shared" si="491"/>
      </c>
      <c r="T584" s="104">
        <f t="shared" si="491"/>
      </c>
      <c r="U584" s="104">
        <f t="shared" si="491"/>
      </c>
    </row>
    <row r="585" spans="4:21" ht="3" customHeight="1" thickTop="1" x14ac:dyDescent="0.3"/>
    <row r="586" spans="4:21" x14ac:dyDescent="0.3">
      <c r="D586" t="s">
        <v>464</v>
      </c>
      <c r="L586" s="40">
        <v>0</v>
      </c>
      <c r="M586" s="40">
        <v>1</v>
      </c>
      <c r="N586" s="40">
        <v>2</v>
      </c>
      <c r="O586" s="40">
        <v>3</v>
      </c>
      <c r="P586" s="40">
        <v>4</v>
      </c>
      <c r="Q586" s="40">
        <v>5</v>
      </c>
      <c r="R586" s="40">
        <v>6</v>
      </c>
      <c r="S586" s="40">
        <v>7</v>
      </c>
      <c r="T586" s="40">
        <v>8</v>
      </c>
      <c r="U586" s="40">
        <v>9</v>
      </c>
    </row>
    <row r="587" spans="4:21" x14ac:dyDescent="0.3">
      <c r="D587" t="s">
        <v>465</v>
      </c>
      <c r="L587" s="184">
        <f>'Assumptions&amp;Scenario'!L188</f>
      </c>
      <c r="M587" s="184">
        <f>'Assumptions&amp;Scenario'!M188</f>
      </c>
      <c r="N587" s="184">
        <f>'Assumptions&amp;Scenario'!N188</f>
      </c>
      <c r="O587" s="184">
        <f>'Assumptions&amp;Scenario'!O188</f>
      </c>
      <c r="P587" s="184">
        <f>'Assumptions&amp;Scenario'!P188</f>
      </c>
      <c r="Q587" s="184">
        <f>'Assumptions&amp;Scenario'!Q188</f>
      </c>
      <c r="R587" s="184">
        <f>'Assumptions&amp;Scenario'!R188</f>
      </c>
      <c r="S587" s="184">
        <f>'Assumptions&amp;Scenario'!S188</f>
      </c>
      <c r="T587" s="184">
        <f>'Assumptions&amp;Scenario'!T188</f>
      </c>
      <c r="U587" s="184">
        <f>'Assumptions&amp;Scenario'!U188</f>
      </c>
    </row>
    <row r="588" spans="4:21" ht="3" customHeight="1" x14ac:dyDescent="0.3"/>
    <row r="589" spans="4:21" x14ac:dyDescent="0.3">
      <c r="D589" s="136" t="s">
        <v>467</v>
      </c>
      <c r="E589" s="113"/>
      <c r="F589" s="113"/>
      <c r="G589" s="113"/>
      <c r="H589" s="113"/>
      <c r="I589" s="113"/>
      <c r="J589" s="113"/>
      <c r="K589" s="126"/>
      <c r="L589" s="126" cm="1">
        <f t="array" ref="L589">SUMPRODUCT(M584:U584 / (1 + M587:U587) ^ M586:U586)</f>
      </c>
      <c r="M589" s="126" cm="1">
        <f t="array" ref="M589">SUMPRODUCT(N584:U584 / (1 + N587:U587) ^ (N586:U586 - 1))</f>
      </c>
      <c r="N589" s="170" cm="1">
        <f t="array" ref="N589">SUMPRODUCT(O584:U584 / (1 + O587:U587) ^ (O586:U586 - 2))</f>
      </c>
      <c r="S589" s="136" t="s">
        <v>164</v>
      </c>
      <c r="T589" s="113"/>
      <c r="U589" s="200">
        <f>'Assumptions&amp;Scenario'!K17</f>
      </c>
    </row>
    <row r="590" spans="4:21" x14ac:dyDescent="0.3">
      <c r="D590" s="137" t="s">
        <v>468</v>
      </c>
      <c r="K590" s="40"/>
      <c r="L590" s="40"/>
      <c r="M590" s="40"/>
      <c r="N590" s="143"/>
      <c r="S590" s="137" t="s">
        <v>477</v>
      </c>
      <c r="U590" s="143">
        <f>U572*(1+U589)</f>
      </c>
    </row>
    <row r="591" spans="4:21" x14ac:dyDescent="0.3">
      <c r="D591" s="137" t="s">
        <v>469</v>
      </c>
      <c r="K591" s="40"/>
      <c r="L591" s="40"/>
      <c r="M591" s="40"/>
      <c r="N591" s="143"/>
      <c r="S591" s="137" t="s">
        <v>121</v>
      </c>
      <c r="U591" s="201">
        <f>'Assumptions&amp;Scenario'!K18</f>
      </c>
    </row>
    <row r="592" spans="4:21" x14ac:dyDescent="0.3">
      <c r="D592" s="137" t="s">
        <v>470</v>
      </c>
      <c r="K592" s="40"/>
      <c r="L592" s="40">
        <f>-(L347+L361)</f>
      </c>
      <c r="M592" s="40">
        <f t="shared" ref="M592:N592" si="492">-(M347+M361)</f>
      </c>
      <c r="N592" s="143">
        <f t="shared" si="492"/>
      </c>
      <c r="S592" s="137" t="s">
        <v>478</v>
      </c>
      <c r="U592" s="143">
        <f>U590*U591</f>
      </c>
    </row>
    <row r="593" spans="4:21" x14ac:dyDescent="0.3">
      <c r="D593" s="137" t="s">
        <v>471</v>
      </c>
      <c r="K593" s="40"/>
      <c r="L593" s="40">
        <f>IFERROR(U595/(1+U587)^U586, 0)</f>
      </c>
      <c r="M593" s="40">
        <f>IFERROR(U595/(1+U587)^(U586-1), 0)</f>
      </c>
      <c r="N593" s="143">
        <f>IFERROR(U595/(1+U587)^(U586-2), 0)</f>
      </c>
      <c r="S593" s="137" t="s">
        <v>110</v>
      </c>
      <c r="U593" s="201">
        <f>IFERROR(U589/'Assumptions&amp;Scenario'!K19, 'Assumptions&amp;Scenario'!U19)</f>
      </c>
    </row>
    <row r="594" spans="4:21" x14ac:dyDescent="0.3">
      <c r="D594" s="137" t="s">
        <v>472</v>
      </c>
      <c r="L594" s="151">
        <f>'Assumptions&amp;Scenario'!U22</f>
      </c>
      <c r="N594" s="143"/>
      <c r="S594" s="137" t="s">
        <v>479</v>
      </c>
      <c r="U594" s="143">
        <f>U592*(1-U578)*(1-U593)</f>
      </c>
    </row>
    <row r="595" spans="4:21" x14ac:dyDescent="0.3">
      <c r="D595" s="118" t="s">
        <v>473</v>
      </c>
      <c r="H595" s="77" t="str">
        <f t="shared" ref="H595" si="493">$H$23</f>
      </c>
      <c r="J595" s="40"/>
      <c r="K595" s="40">
        <f>K597*K596</f>
      </c>
      <c r="L595" s="40">
        <f>SUM(L589:L594)</f>
      </c>
      <c r="M595" s="40">
        <f>SUM(M589:M594)</f>
      </c>
      <c r="N595" s="143">
        <f>SUM(N589:N594)</f>
      </c>
      <c r="S595" s="127" t="s">
        <v>471</v>
      </c>
      <c r="T595" s="128"/>
      <c r="U595" s="38">
        <f>IFERROR(U594/(U587-U589), 0)</f>
      </c>
    </row>
    <row r="596" spans="4:21" x14ac:dyDescent="0.3">
      <c r="D596" s="137" t="s">
        <v>474</v>
      </c>
      <c r="K596" s="71">
        <f>K534</f>
      </c>
      <c r="L596" s="71">
        <f t="shared" ref="L596:N596" si="494">L534</f>
      </c>
      <c r="M596" s="71">
        <f t="shared" si="494"/>
      </c>
      <c r="N596" s="143">
        <f t="shared" si="494"/>
      </c>
    </row>
    <row r="597" spans="4:21" x14ac:dyDescent="0.3">
      <c r="D597" s="118" t="s">
        <v>475</v>
      </c>
      <c r="H597" s="77" t="str">
        <f>$H$203</f>
      </c>
      <c r="J597" s="40"/>
      <c r="K597" s="40">
        <f>'Assumptions&amp;Scenario'!U41</f>
      </c>
      <c r="L597" s="91">
        <f>IFERROR(L595/L596, 0)</f>
      </c>
      <c r="M597" s="91">
        <f>IFERROR(M595/M596, 0)</f>
      </c>
      <c r="N597" s="199">
        <f>IFERROR(N595/N596, 0)</f>
      </c>
    </row>
    <row r="598" spans="4:21" x14ac:dyDescent="0.3">
      <c r="D598" s="177" t="s">
        <v>476</v>
      </c>
      <c r="E598" s="120"/>
      <c r="F598" s="120"/>
      <c r="G598" s="120"/>
      <c r="H598" s="120"/>
      <c r="I598" s="120"/>
      <c r="J598" s="120"/>
      <c r="K598" s="120"/>
      <c r="L598" s="131">
        <f>IFERROR(L597/$K597-1, 0)</f>
      </c>
      <c r="M598" s="131">
        <f>IFERROR(M597/$K597-1, 0)</f>
      </c>
      <c r="N598" s="132">
        <f>IFERROR(N597/$K597-1, 0)</f>
      </c>
      <c r="P598" s="2" t="str">
        <f>"₹"&amp;TEXT(ROUND(L597, 0), "#,###")&amp;" / "&amp;ROUND(L598*100, 0)&amp;"%  (WACC "&amp;ROUND(L587*100, 0)&amp;"%,  Terminal g "&amp;ROUND(U589*100, 0)&amp;"%, Reinvest Rate "&amp;ROUND(U593*100, 0)&amp;"%)"</f>
      </c>
    </row>
    <row r="599" spans="4:21" ht="3" customHeight="1" x14ac:dyDescent="0.3"/>
    <row r="600" spans="4:21" ht="15.6" x14ac:dyDescent="0.3">
      <c r="D600" s="43" t="s">
        <v>389</v>
      </c>
      <c r="E600" s="43"/>
      <c r="F600" s="43"/>
      <c r="G600" s="43"/>
      <c r="H600" s="43"/>
      <c r="I600" s="44"/>
      <c r="J600" s="44" t="str">
        <f>J567</f>
      </c>
      <c r="K600" s="44" t="str">
        <f t="shared" ref="K600:N600" si="495">K567</f>
      </c>
      <c r="L600" s="44" t="str">
        <f t="shared" si="495"/>
      </c>
      <c r="M600" s="44" t="str">
        <f t="shared" si="495"/>
      </c>
      <c r="N600" s="44" t="str">
        <f t="shared" si="495"/>
      </c>
      <c r="P600" s="205" t="str">
        <f>P213</f>
      </c>
      <c r="Q600" s="44" t="str">
        <f t="shared" ref="Q600:U600" si="496">Q213</f>
      </c>
      <c r="R600" s="44" t="str">
        <f t="shared" si="496"/>
      </c>
      <c r="S600" s="44" t="str">
        <f t="shared" si="496"/>
      </c>
      <c r="T600" s="44" t="str">
        <f t="shared" si="496"/>
      </c>
      <c r="U600" s="206" t="str">
        <f t="shared" si="496"/>
      </c>
    </row>
    <row r="601" spans="4:21" ht="3" customHeight="1" x14ac:dyDescent="0.3"/>
    <row r="602" spans="4:21" ht="3" customHeight="1" x14ac:dyDescent="0.3"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P602" s="14"/>
      <c r="Q602" s="14"/>
      <c r="R602" s="14"/>
      <c r="S602" s="14"/>
      <c r="T602" s="14"/>
      <c r="U602" s="14"/>
    </row>
    <row r="603" spans="4:21" ht="3" customHeight="1" x14ac:dyDescent="0.3"/>
    <row r="604" spans="4:21" x14ac:dyDescent="0.3">
      <c r="D604" s="121" t="s">
        <v>40</v>
      </c>
      <c r="E604" s="113"/>
      <c r="F604" s="113"/>
      <c r="G604" s="113"/>
      <c r="H604" s="202" t="str">
        <f>$H$203</f>
      </c>
      <c r="I604" s="113"/>
      <c r="J604" s="126">
        <f>J576</f>
      </c>
      <c r="K604" s="126">
        <f t="shared" ref="K604:N604" si="497">K576</f>
      </c>
      <c r="L604" s="126">
        <f t="shared" si="497"/>
      </c>
      <c r="M604" s="126">
        <f t="shared" si="497"/>
      </c>
      <c r="N604" s="170">
        <f t="shared" si="497"/>
      </c>
      <c r="P604" s="207">
        <f>P248</f>
      </c>
      <c r="Q604" s="40">
        <f t="shared" ref="Q604:U604" si="498">Q248</f>
      </c>
      <c r="R604" s="40">
        <f t="shared" si="498"/>
      </c>
      <c r="S604" s="40">
        <f t="shared" si="498"/>
      </c>
      <c r="T604" s="40">
        <f t="shared" si="498"/>
      </c>
      <c r="U604" s="143">
        <f t="shared" si="498"/>
      </c>
    </row>
    <row r="605" spans="4:21" x14ac:dyDescent="0.3">
      <c r="D605" s="137" t="s">
        <v>480</v>
      </c>
      <c r="M605" s="152">
        <f>'Assumptions&amp;Scenario'!U20</f>
      </c>
      <c r="N605" s="119">
        <f>M605</f>
      </c>
      <c r="P605" s="208">
        <f>N605</f>
      </c>
      <c r="Q605" s="50">
        <f>P605</f>
      </c>
      <c r="R605" s="50">
        <f t="shared" ref="R605:U605" si="499">Q605</f>
      </c>
      <c r="S605" s="50">
        <f t="shared" si="499"/>
      </c>
      <c r="T605" s="50">
        <f t="shared" si="499"/>
      </c>
      <c r="U605" s="119">
        <f t="shared" si="499"/>
      </c>
    </row>
    <row r="606" spans="4:21" x14ac:dyDescent="0.3">
      <c r="D606" s="137" t="s">
        <v>481</v>
      </c>
      <c r="M606" s="184">
        <f>'Assumptions&amp;Scenario'!U21</f>
      </c>
      <c r="N606" s="203">
        <f>M606</f>
      </c>
      <c r="P606" s="209">
        <f>N606</f>
      </c>
      <c r="Q606" s="25">
        <f>P606</f>
      </c>
      <c r="R606" s="25">
        <f t="shared" ref="R606:U606" si="500">Q606</f>
      </c>
      <c r="S606" s="25">
        <f t="shared" si="500"/>
      </c>
      <c r="T606" s="25">
        <f t="shared" si="500"/>
      </c>
      <c r="U606" s="203">
        <f t="shared" si="500"/>
      </c>
    </row>
    <row r="607" spans="4:21" x14ac:dyDescent="0.3">
      <c r="D607" s="137" t="s">
        <v>482</v>
      </c>
      <c r="M607" s="86">
        <f>M605*(1+M606)</f>
      </c>
      <c r="N607" s="204">
        <f>N605*(1+N606)</f>
      </c>
      <c r="P607" s="210">
        <f t="shared" ref="P607:U607" si="501">P605*(1+P606)</f>
      </c>
      <c r="Q607" s="86">
        <f t="shared" si="501"/>
      </c>
      <c r="R607" s="86">
        <f t="shared" si="501"/>
      </c>
      <c r="S607" s="86">
        <f t="shared" si="501"/>
      </c>
      <c r="T607" s="86">
        <f t="shared" si="501"/>
      </c>
      <c r="U607" s="204">
        <f t="shared" si="501"/>
      </c>
    </row>
    <row r="608" spans="4:21" x14ac:dyDescent="0.3">
      <c r="D608" s="118" t="s">
        <v>483</v>
      </c>
      <c r="H608" s="77" t="str">
        <f>$H$203</f>
      </c>
      <c r="K608" s="40">
        <f>K597</f>
      </c>
      <c r="L608" s="91">
        <f>M604*M607</f>
      </c>
      <c r="M608" s="91">
        <f>N604*N607</f>
      </c>
      <c r="N608" s="138"/>
      <c r="P608" s="211">
        <f>T604*T607</f>
      </c>
      <c r="Q608" s="91">
        <f>U604*U607</f>
      </c>
      <c r="U608" s="138"/>
    </row>
    <row r="609" spans="2:22" x14ac:dyDescent="0.3">
      <c r="D609" s="177" t="s">
        <v>476</v>
      </c>
      <c r="E609" s="120"/>
      <c r="F609" s="120"/>
      <c r="G609" s="120"/>
      <c r="H609" s="120"/>
      <c r="I609" s="120"/>
      <c r="J609" s="120"/>
      <c r="K609" s="120"/>
      <c r="L609" s="131">
        <f>IFERROR(L608/$K608-1, 0)</f>
      </c>
      <c r="M609" s="131">
        <f>IFERROR(M608/$K608-1, 0)</f>
      </c>
      <c r="N609" s="139"/>
      <c r="P609" s="212">
        <f>IFERROR(P608/$K608-1, 0)</f>
      </c>
      <c r="Q609" s="131">
        <f>IFERROR(Q608/$K608-1, 0)</f>
      </c>
      <c r="R609" s="120"/>
      <c r="S609" s="120"/>
      <c r="T609" s="120"/>
      <c r="U609" s="139"/>
    </row>
    <row r="612" spans="2:22" x14ac:dyDescent="0.3">
      <c r="U612" s="227" t="str">
        <f>$U$2</f>
      </c>
    </row>
    <row r="613" spans="2:22" ht="18" x14ac:dyDescent="0.35">
      <c r="B613" s="148" t="str">
        <f>'Assumptions&amp;Scenario'!$K$10</f>
      </c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</row>
    <row r="614" spans="2:22" ht="18" thickBot="1" x14ac:dyDescent="0.35">
      <c r="B614" s="47" t="s">
        <v>491</v>
      </c>
      <c r="C614" s="48"/>
      <c r="D614" s="48"/>
      <c r="E614" s="48"/>
      <c r="F614" s="48"/>
      <c r="G614" s="48"/>
      <c r="H614" s="49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</row>
    <row r="615" spans="2:22" ht="15" thickBot="1" x14ac:dyDescent="0.35">
      <c r="C615" s="2"/>
      <c r="D615" s="2"/>
      <c r="E615" s="2"/>
      <c r="F615" s="2"/>
      <c r="L615" s="42" t="s">
        <v>141</v>
      </c>
      <c r="M615" s="42"/>
      <c r="N615" s="42"/>
      <c r="O615" s="42"/>
      <c r="P615" s="42"/>
      <c r="Q615" s="42"/>
      <c r="R615" s="42"/>
      <c r="S615" s="42"/>
      <c r="T615" s="42"/>
      <c r="U615" s="42"/>
    </row>
    <row r="616" spans="2:22" ht="16.2" thickTop="1" x14ac:dyDescent="0.3">
      <c r="C616" s="43" t="s">
        <v>389</v>
      </c>
      <c r="D616" s="43"/>
      <c r="E616" s="43"/>
      <c r="F616" s="43"/>
      <c r="G616" s="43"/>
      <c r="H616" s="44"/>
      <c r="I616" s="44"/>
      <c r="J616" s="44" t="str">
        <f>"FY"&amp;TEXT(RIGHT(K616,2)-(COLUMN(K616)-COLUMN()),"00")</f>
      </c>
      <c r="K616" s="44" t="str">
        <f>"FY"&amp;TEXT(DATE(YEAR('Data Sheet'!$K$16)+(MONTH('Data Sheet'!$K$16)&gt;3),1,1),"YY")</f>
      </c>
      <c r="L616" s="44" t="str">
        <f t="shared" ref="L616" si="502">"FY"&amp;TEXT(RIGHT(K616,2)+COLUMN()-COLUMN(K616),"00")</f>
      </c>
      <c r="M616" s="44" t="str">
        <f t="shared" ref="M616" si="503">"FY"&amp;TEXT(RIGHT(L616,2)+COLUMN()-COLUMN(L616),"00")</f>
      </c>
      <c r="N616" s="44" t="str">
        <f t="shared" ref="N616" si="504">"FY"&amp;TEXT(RIGHT(M616,2)+COLUMN()-COLUMN(M616),"00")</f>
      </c>
      <c r="O616" s="44" t="str">
        <f t="shared" ref="O616" si="505">"FY"&amp;TEXT(RIGHT(N616,2)+COLUMN()-COLUMN(N616),"00")</f>
      </c>
      <c r="P616" s="44" t="str">
        <f t="shared" ref="P616" si="506">"FY"&amp;TEXT(RIGHT(O616,2)+COLUMN()-COLUMN(O616),"00")</f>
      </c>
      <c r="Q616" s="44" t="str">
        <f t="shared" ref="Q616" si="507">"FY"&amp;TEXT(RIGHT(P616,2)+COLUMN()-COLUMN(P616),"00")</f>
      </c>
      <c r="R616" s="44" t="str">
        <f t="shared" ref="R616" si="508">"FY"&amp;TEXT(RIGHT(Q616,2)+COLUMN()-COLUMN(Q616),"00")</f>
      </c>
      <c r="S616" s="44" t="str">
        <f t="shared" ref="S616" si="509">"FY"&amp;TEXT(RIGHT(R616,2)+COLUMN()-COLUMN(R616),"00")</f>
      </c>
      <c r="T616" s="44" t="str">
        <f t="shared" ref="T616" si="510">"FY"&amp;TEXT(RIGHT(S616,2)+COLUMN()-COLUMN(S616),"00")</f>
      </c>
      <c r="U616" s="44" t="str">
        <f t="shared" ref="U616" si="511">"FY"&amp;TEXT(RIGHT(T616,2)+COLUMN()-COLUMN(T616),"00")</f>
      </c>
    </row>
    <row r="617" spans="2:22" ht="3" customHeight="1" x14ac:dyDescent="0.3"/>
    <row r="618" spans="2:22" ht="3" customHeight="1" x14ac:dyDescent="0.3"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spans="2:22" ht="3" customHeight="1" x14ac:dyDescent="0.3"/>
    <row r="620" spans="2:22" ht="18" x14ac:dyDescent="0.35">
      <c r="C620" s="24" t="s">
        <v>376</v>
      </c>
      <c r="L620" s="184">
        <f>'Assumptions&amp;Scenario'!U44</f>
      </c>
      <c r="M620" s="25">
        <f>L620</f>
      </c>
    </row>
    <row r="622" spans="2:22" x14ac:dyDescent="0.3">
      <c r="C622" t="s">
        <v>492</v>
      </c>
      <c r="H622" s="77" t="s">
        <v>134</v>
      </c>
      <c r="K622" s="40">
        <f>K572</f>
      </c>
      <c r="L622" s="40">
        <f>L572</f>
      </c>
      <c r="M622" s="40">
        <f>M572</f>
      </c>
    </row>
    <row r="623" spans="2:22" x14ac:dyDescent="0.3">
      <c r="C623" t="s">
        <v>74</v>
      </c>
      <c r="L623" s="40">
        <f>L574</f>
      </c>
      <c r="M623" s="40">
        <f>M574</f>
      </c>
    </row>
    <row r="624" spans="2:22" x14ac:dyDescent="0.3">
      <c r="C624" s="78" t="s">
        <v>234</v>
      </c>
      <c r="L624" s="92">
        <f>L575</f>
      </c>
      <c r="M624" s="92">
        <f>M575</f>
      </c>
    </row>
    <row r="625" spans="3:13" x14ac:dyDescent="0.3">
      <c r="C625" t="s">
        <v>75</v>
      </c>
      <c r="L625" s="40">
        <f>L197</f>
      </c>
      <c r="M625" s="40">
        <f>M197</f>
      </c>
    </row>
    <row r="626" spans="3:13" x14ac:dyDescent="0.3">
      <c r="C626" t="s">
        <v>132</v>
      </c>
      <c r="L626" s="25">
        <f>L578</f>
      </c>
      <c r="M626" s="25">
        <f>M578</f>
      </c>
    </row>
    <row r="627" spans="3:13" x14ac:dyDescent="0.3">
      <c r="C627" s="2" t="s">
        <v>493</v>
      </c>
      <c r="L627" s="190">
        <f>IFERROR(L625*L620/(1-L626), 0)</f>
      </c>
      <c r="M627" s="190">
        <f>IFERROR(M625*M620/(1-M626), 0)</f>
      </c>
    </row>
    <row r="628" spans="3:13" x14ac:dyDescent="0.3">
      <c r="D628" t="s">
        <v>494</v>
      </c>
      <c r="L628" s="40">
        <f>IFERROR(L627/L624, 0)</f>
      </c>
      <c r="M628" s="40">
        <f>IFERROR(M627/M624, 0)</f>
      </c>
    </row>
    <row r="629" spans="3:13" x14ac:dyDescent="0.3">
      <c r="D629" t="s">
        <v>497</v>
      </c>
      <c r="L629" s="92">
        <f>IFERROR(L628/K622, 0)</f>
      </c>
      <c r="M629" s="92">
        <f>IFERROR(M628/L622, 0)</f>
      </c>
    </row>
    <row r="630" spans="3:13" x14ac:dyDescent="0.3">
      <c r="D630" t="s">
        <v>495</v>
      </c>
      <c r="L630" s="92">
        <f>IFERROR(L627/L622, 0)</f>
      </c>
      <c r="M630" s="92">
        <f>IFERROR(M627/M622, 0)</f>
      </c>
    </row>
    <row r="631" spans="3:13" x14ac:dyDescent="0.3">
      <c r="D631" t="s">
        <v>496</v>
      </c>
      <c r="L631" s="40">
        <f>L627</f>
      </c>
      <c r="M631" s="40">
        <f>M627</f>
      </c>
    </row>
    <row r="632" spans="3:13" x14ac:dyDescent="0.3">
      <c r="D632" t="s">
        <v>498</v>
      </c>
      <c r="L632" s="92">
        <f>IFERROR(L631/(L622-L623), 0)</f>
      </c>
      <c r="M632" s="92">
        <f>IFERROR(M631/(M622-M623), 0)</f>
      </c>
    </row>
    <row r="634" spans="3:13" ht="18" x14ac:dyDescent="0.35">
      <c r="C634" s="24" t="s">
        <v>499</v>
      </c>
    </row>
    <row r="645" spans="3:3" ht="18" x14ac:dyDescent="0.35">
      <c r="C645" s="24" t="s">
        <v>616</v>
      </c>
    </row>
  </sheetData>
  <conditionalFormatting sqref="K106:U106">
    <cfRule type="cellIs" dxfId="7" priority="5" operator="greaterThan">
      <formula>0.95</formula>
    </cfRule>
  </conditionalFormatting>
  <conditionalFormatting sqref="K136:U136">
    <cfRule type="cellIs" dxfId="6" priority="4" operator="greaterThan">
      <formula>0.95</formula>
    </cfRule>
  </conditionalFormatting>
  <conditionalFormatting sqref="L18:U18">
    <cfRule type="cellIs" dxfId="5" priority="7" operator="greaterThan">
      <formula>0.95</formula>
    </cfRule>
  </conditionalFormatting>
  <conditionalFormatting sqref="L156:U157">
    <cfRule type="cellIs" dxfId="4" priority="3" operator="greaterThan">
      <formula>0.95</formula>
    </cfRule>
  </conditionalFormatting>
  <conditionalFormatting sqref="L162:U162">
    <cfRule type="cellIs" dxfId="3" priority="2" operator="greaterThan">
      <formula>0.95</formula>
    </cfRule>
  </conditionalFormatting>
  <conditionalFormatting sqref="L223:U223">
    <cfRule type="cellIs" dxfId="2" priority="1" operator="greaterThan">
      <formula>0.95</formula>
    </cfRule>
  </conditionalFormatting>
  <conditionalFormatting sqref="N43:U43">
    <cfRule type="cellIs" dxfId="1" priority="6" operator="greaterThan">
      <formula>0.95</formula>
    </cfRule>
  </conditionalFormatting>
  <printOptions horizontalCentered="1"/>
  <pageMargins left="0.19685039370078741" right="0.19685039370078741" top="0.19685039370078741" bottom="0.19685039370078741" header="0.11811023622047245" footer="0.11811023622047245"/>
  <pageSetup paperSize="5" scale="95" orientation="landscape" r:id="rId1"/>
  <headerFooter>
    <oddFooter>&amp;L&amp;A&amp;CPage &amp;P of &amp;N&amp;R&amp;F</oddFooter>
  </headerFooter>
  <ignoredErrors>
    <ignoredError sqref="K178:U178 K220:U220 K176:U176 L326:U326" formula="1"/>
    <ignoredError sqref="L589:N58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9D68-2D65-4B44-B461-2A555FE062A8}">
  <dimension ref="B2:AH396"/>
  <sheetViews>
    <sheetView showGridLines="0" view="pageBreakPreview" zoomScaleNormal="100" zoomScaleSheetLayoutView="100" workbookViewId="0">
      <selection activeCell="J12" sqref="J12"/>
    </sheetView>
  </sheetViews>
  <sheetFormatPr defaultRowHeight="14.4" x14ac:dyDescent="0.3"/>
  <cols>
    <col min="2" max="2" width="1.88671875" customWidth="1"/>
    <col min="3" max="5" width="2.44140625" customWidth="1"/>
    <col min="9" max="9" width="1.88671875" customWidth="1"/>
    <col min="10" max="21" width="11.88671875" bestFit="1" customWidth="1"/>
    <col min="22" max="23" width="1.88671875" customWidth="1"/>
    <col min="25" max="35" width="10.6640625" customWidth="1"/>
  </cols>
  <sheetData>
    <row r="2" spans="2:34" x14ac:dyDescent="0.3">
      <c r="U2" s="227" t="str">
        <f>UPPER("Currently Running " &amp; CHOOSE('Assumptions&amp;Scenario'!H88, 'Assumptions&amp;Scenario'!D102,'Assumptions&amp;Scenario'!D103,'Assumptions&amp;Scenario'!D104) &amp; " Scenario")</f>
      </c>
    </row>
    <row r="3" spans="2:34" ht="18" x14ac:dyDescent="0.35">
      <c r="B3" s="148" t="str">
        <f>'Assumptions&amp;Scenario'!$K$10</f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 spans="2:34" ht="18" thickBot="1" x14ac:dyDescent="0.35">
      <c r="B4" s="47" t="s">
        <v>524</v>
      </c>
      <c r="C4" s="48"/>
      <c r="D4" s="48"/>
      <c r="E4" s="48"/>
      <c r="F4" s="48"/>
      <c r="G4" s="48"/>
      <c r="H4" s="49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Y4" s="47" t="s">
        <v>525</v>
      </c>
      <c r="Z4" s="48"/>
      <c r="AA4" s="48"/>
      <c r="AB4" s="48"/>
      <c r="AC4" s="48"/>
      <c r="AD4" s="48"/>
      <c r="AE4" s="48"/>
      <c r="AF4" s="48"/>
      <c r="AG4" s="48"/>
      <c r="AH4" s="48"/>
    </row>
    <row r="5" spans="2:34" x14ac:dyDescent="0.3">
      <c r="C5" s="2"/>
      <c r="D5" s="2"/>
      <c r="E5" s="2"/>
      <c r="F5" s="2"/>
      <c r="L5" s="83"/>
      <c r="M5" s="83"/>
      <c r="N5" s="83"/>
      <c r="O5" s="83"/>
      <c r="P5" s="83"/>
      <c r="Q5" s="83"/>
      <c r="R5" s="83"/>
      <c r="S5" s="83"/>
      <c r="T5" s="83"/>
      <c r="U5" s="83"/>
      <c r="Y5" s="83"/>
      <c r="Z5" s="83"/>
      <c r="AA5" s="83"/>
      <c r="AB5" s="83"/>
      <c r="AC5" s="83"/>
      <c r="AD5" s="83"/>
      <c r="AE5" s="83"/>
      <c r="AF5" s="83"/>
      <c r="AG5" s="83"/>
      <c r="AH5" s="83"/>
    </row>
    <row r="6" spans="2:34" ht="15.6" x14ac:dyDescent="0.3">
      <c r="C6" s="43" t="s">
        <v>389</v>
      </c>
      <c r="D6" s="43"/>
      <c r="E6" s="43"/>
      <c r="F6" s="43"/>
      <c r="G6" s="43"/>
      <c r="H6" s="44"/>
      <c r="I6" s="44"/>
      <c r="J6" s="44" t="str">
        <f>"FY"&amp;TEXT(RIGHT(K6,2)-(COLUMN(K6)-COLUMN()),"00")</f>
      </c>
      <c r="K6" s="44" t="str">
        <f t="shared" ref="K6:T6" si="0">"FY"&amp;TEXT(RIGHT(L6,2)-(COLUMN(L6)-COLUMN()),"00")</f>
      </c>
      <c r="L6" s="79" t="str">
        <f t="shared" si="0"/>
      </c>
      <c r="M6" s="79" t="str">
        <f t="shared" si="0"/>
      </c>
      <c r="N6" s="79" t="str">
        <f t="shared" si="0"/>
      </c>
      <c r="O6" s="79" t="str">
        <f t="shared" si="0"/>
      </c>
      <c r="P6" s="79" t="str">
        <f t="shared" si="0"/>
      </c>
      <c r="Q6" s="79" t="str">
        <f t="shared" si="0"/>
      </c>
      <c r="R6" s="79" t="str">
        <f t="shared" si="0"/>
      </c>
      <c r="S6" s="79" t="str">
        <f t="shared" si="0"/>
      </c>
      <c r="T6" s="79" t="str">
        <f t="shared" si="0"/>
      </c>
      <c r="U6" s="79" t="str">
        <f>"FY"&amp;TEXT(DATE(YEAR('Data Sheet'!$K$16)+(MONTH('Data Sheet'!$K$16)&gt;3),1,1),"YY")</f>
      </c>
      <c r="Y6" s="44" t="str">
        <f>Model!$L$6</f>
      </c>
      <c r="Z6" s="44" t="str">
        <f t="shared" ref="Z6:AH6" si="1">"FY"&amp;TEXT(RIGHT(Y6,2)+COLUMN()-COLUMN(Y6),"00")</f>
      </c>
      <c r="AA6" s="44" t="str">
        <f t="shared" si="1"/>
      </c>
      <c r="AB6" s="44" t="str">
        <f t="shared" si="1"/>
      </c>
      <c r="AC6" s="44" t="str">
        <f t="shared" si="1"/>
      </c>
      <c r="AD6" s="44" t="str">
        <f t="shared" si="1"/>
      </c>
      <c r="AE6" s="44" t="str">
        <f t="shared" si="1"/>
      </c>
      <c r="AF6" s="44" t="str">
        <f t="shared" si="1"/>
      </c>
      <c r="AG6" s="44" t="str">
        <f t="shared" si="1"/>
      </c>
      <c r="AH6" s="44" t="str">
        <f t="shared" si="1"/>
      </c>
    </row>
    <row r="7" spans="2:34" ht="3" customHeight="1" x14ac:dyDescent="0.3"/>
    <row r="8" spans="2:34" ht="3" customHeight="1" x14ac:dyDescent="0.3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2:34" ht="3" customHeight="1" x14ac:dyDescent="0.3"/>
    <row r="10" spans="2:34" x14ac:dyDescent="0.3">
      <c r="C10" t="s">
        <v>504</v>
      </c>
      <c r="H10" s="77" t="str">
        <f>HistoricalData!H10</f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Y10" s="71" cm="1">
        <f t="array" ref="Y10">IFERROR(_xlfn.FORECAST.LINEAR(RIGHT(Y$6,2), $J10:$U10, VALUE(RIGHT($J$6:$U$6,2))), 0)</f>
      </c>
      <c r="Z10" s="71" cm="1">
        <f t="array" ref="Z10">IFERROR(_xlfn.FORECAST.LINEAR(RIGHT(Z$6,2), $J10:$U10, VALUE(RIGHT($J$6:$U$6,2))), 0)</f>
      </c>
      <c r="AA10" s="71" cm="1">
        <f t="array" ref="AA10">IFERROR(_xlfn.FORECAST.LINEAR(RIGHT(AA$6,2), $J10:$U10, VALUE(RIGHT($J$6:$U$6,2))), 0)</f>
      </c>
      <c r="AB10" s="71" cm="1">
        <f t="array" ref="AB10">IFERROR(_xlfn.FORECAST.LINEAR(RIGHT(AB$6,2), $J10:$U10, VALUE(RIGHT($J$6:$U$6,2))), 0)</f>
      </c>
      <c r="AC10" s="71" cm="1">
        <f t="array" ref="AC10">IFERROR(_xlfn.FORECAST.LINEAR(RIGHT(AC$6,2), $J10:$U10, VALUE(RIGHT($J$6:$U$6,2))), 0)</f>
      </c>
      <c r="AD10" s="71" cm="1">
        <f t="array" ref="AD10">IFERROR(_xlfn.FORECAST.LINEAR(RIGHT(AD$6,2), $J10:$U10, VALUE(RIGHT($J$6:$U$6,2))), 0)</f>
      </c>
      <c r="AE10" s="71" cm="1">
        <f t="array" ref="AE10">IFERROR(_xlfn.FORECAST.LINEAR(RIGHT(AE$6,2), $J10:$U10, VALUE(RIGHT($J$6:$U$6,2))), 0)</f>
      </c>
      <c r="AF10" s="71" cm="1">
        <f t="array" ref="AF10">IFERROR(_xlfn.FORECAST.LINEAR(RIGHT(AF$6,2), $J10:$U10, VALUE(RIGHT($J$6:$U$6,2))), 0)</f>
      </c>
      <c r="AG10" s="71" cm="1">
        <f t="array" ref="AG10">IFERROR(_xlfn.FORECAST.LINEAR(RIGHT(AG$6,2), $J10:$U10, VALUE(RIGHT($J$6:$U$6,2))), 0)</f>
      </c>
      <c r="AH10" s="71" cm="1">
        <f t="array" ref="AH10">IFERROR(_xlfn.FORECAST.LINEAR(RIGHT(AH$6,2), $J10:$U10, VALUE(RIGHT($J$6:$U$6,2))), 0)</f>
      </c>
    </row>
    <row r="11" spans="2:34" x14ac:dyDescent="0.3">
      <c r="C11" t="s">
        <v>96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Y11" s="71" cm="1">
        <f t="array" ref="Y11">IFERROR(_xlfn.FORECAST.LINEAR(RIGHT(Y$6,2), $J11:$U11, VALUE(RIGHT($J$6:$U$6,2))), 0)</f>
      </c>
      <c r="Z11" s="71" cm="1">
        <f t="array" ref="Z11">IFERROR(_xlfn.FORECAST.LINEAR(RIGHT(Z$6,2), $J11:$U11, VALUE(RIGHT($J$6:$U$6,2))), 0)</f>
      </c>
      <c r="AA11" s="71" cm="1">
        <f t="array" ref="AA11">IFERROR(_xlfn.FORECAST.LINEAR(RIGHT(AA$6,2), $J11:$U11, VALUE(RIGHT($J$6:$U$6,2))), 0)</f>
      </c>
      <c r="AB11" s="71" cm="1">
        <f t="array" ref="AB11">IFERROR(_xlfn.FORECAST.LINEAR(RIGHT(AB$6,2), $J11:$U11, VALUE(RIGHT($J$6:$U$6,2))), 0)</f>
      </c>
      <c r="AC11" s="71" cm="1">
        <f t="array" ref="AC11">IFERROR(_xlfn.FORECAST.LINEAR(RIGHT(AC$6,2), $J11:$U11, VALUE(RIGHT($J$6:$U$6,2))), 0)</f>
      </c>
      <c r="AD11" s="71" cm="1">
        <f t="array" ref="AD11">IFERROR(_xlfn.FORECAST.LINEAR(RIGHT(AD$6,2), $J11:$U11, VALUE(RIGHT($J$6:$U$6,2))), 0)</f>
      </c>
      <c r="AE11" s="71" cm="1">
        <f t="array" ref="AE11">IFERROR(_xlfn.FORECAST.LINEAR(RIGHT(AE$6,2), $J11:$U11, VALUE(RIGHT($J$6:$U$6,2))), 0)</f>
      </c>
      <c r="AF11" s="71" cm="1">
        <f t="array" ref="AF11">IFERROR(_xlfn.FORECAST.LINEAR(RIGHT(AF$6,2), $J11:$U11, VALUE(RIGHT($J$6:$U$6,2))), 0)</f>
      </c>
      <c r="AG11" s="71" cm="1">
        <f t="array" ref="AG11">IFERROR(_xlfn.FORECAST.LINEAR(RIGHT(AG$6,2), $J11:$U11, VALUE(RIGHT($J$6:$U$6,2))), 0)</f>
      </c>
      <c r="AH11" s="71" cm="1">
        <f t="array" ref="AH11">IFERROR(_xlfn.FORECAST.LINEAR(RIGHT(AH$6,2), $J11:$U11, VALUE(RIGHT($J$6:$U$6,2))), 0)</f>
      </c>
    </row>
    <row r="12" spans="2:34" ht="18" x14ac:dyDescent="0.35">
      <c r="C12" s="24" t="s">
        <v>505</v>
      </c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Y12" s="90" cm="1">
        <f t="array" ref="Y12">IFERROR(_xlfn.FORECAST.LINEAR(RIGHT(Y$6,2), $J12:$U12, VALUE(RIGHT($J$6:$U$6,2))), 0)</f>
      </c>
      <c r="Z12" s="90" cm="1">
        <f t="array" ref="Z12">IFERROR(_xlfn.FORECAST.LINEAR(RIGHT(Z$6,2), $J12:$U12, VALUE(RIGHT($J$6:$U$6,2))), 0)</f>
      </c>
      <c r="AA12" s="90" cm="1">
        <f t="array" ref="AA12">IFERROR(_xlfn.FORECAST.LINEAR(RIGHT(AA$6,2), $J12:$U12, VALUE(RIGHT($J$6:$U$6,2))), 0)</f>
      </c>
      <c r="AB12" s="90" cm="1">
        <f t="array" ref="AB12">IFERROR(_xlfn.FORECAST.LINEAR(RIGHT(AB$6,2), $J12:$U12, VALUE(RIGHT($J$6:$U$6,2))), 0)</f>
      </c>
      <c r="AC12" s="90" cm="1">
        <f t="array" ref="AC12">IFERROR(_xlfn.FORECAST.LINEAR(RIGHT(AC$6,2), $J12:$U12, VALUE(RIGHT($J$6:$U$6,2))), 0)</f>
      </c>
      <c r="AD12" s="90" cm="1">
        <f t="array" ref="AD12">IFERROR(_xlfn.FORECAST.LINEAR(RIGHT(AD$6,2), $J12:$U12, VALUE(RIGHT($J$6:$U$6,2))), 0)</f>
      </c>
      <c r="AE12" s="90" cm="1">
        <f t="array" ref="AE12">IFERROR(_xlfn.FORECAST.LINEAR(RIGHT(AE$6,2), $J12:$U12, VALUE(RIGHT($J$6:$U$6,2))), 0)</f>
      </c>
      <c r="AF12" s="90" cm="1">
        <f t="array" ref="AF12">IFERROR(_xlfn.FORECAST.LINEAR(RIGHT(AF$6,2), $J12:$U12, VALUE(RIGHT($J$6:$U$6,2))), 0)</f>
      </c>
      <c r="AG12" s="90" cm="1">
        <f t="array" ref="AG12">IFERROR(_xlfn.FORECAST.LINEAR(RIGHT(AG$6,2), $J12:$U12, VALUE(RIGHT($J$6:$U$6,2))), 0)</f>
      </c>
      <c r="AH12" s="90" cm="1">
        <f t="array" ref="AH12">IFERROR(_xlfn.FORECAST.LINEAR(RIGHT(AH$6,2), $J12:$U12, VALUE(RIGHT($J$6:$U$6,2))), 0)</f>
      </c>
    </row>
    <row r="13" spans="2:34" ht="3" customHeight="1" x14ac:dyDescent="0.3"/>
    <row r="14" spans="2:34" ht="3" customHeight="1" x14ac:dyDescent="0.3"/>
    <row r="15" spans="2:34" ht="18" x14ac:dyDescent="0.35">
      <c r="C15" s="24" t="s">
        <v>510</v>
      </c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Y15" s="214" cm="1">
        <f t="array" ref="Y15">IFERROR(_xlfn.FORECAST.LINEAR(RIGHT(Y$6,2), $J15:$U15, VALUE(RIGHT($J$6:$U$6,2))), 0)</f>
      </c>
      <c r="Z15" s="214" cm="1">
        <f t="array" ref="Z15">IFERROR(_xlfn.FORECAST.LINEAR(RIGHT(Z$6,2), $J15:$U15, VALUE(RIGHT($J$6:$U$6,2))), 0)</f>
      </c>
      <c r="AA15" s="214" cm="1">
        <f t="array" ref="AA15">IFERROR(_xlfn.FORECAST.LINEAR(RIGHT(AA$6,2), $J15:$U15, VALUE(RIGHT($J$6:$U$6,2))), 0)</f>
      </c>
      <c r="AB15" s="214" cm="1">
        <f t="array" ref="AB15">IFERROR(_xlfn.FORECAST.LINEAR(RIGHT(AB$6,2), $J15:$U15, VALUE(RIGHT($J$6:$U$6,2))), 0)</f>
      </c>
      <c r="AC15" s="214" cm="1">
        <f t="array" ref="AC15">IFERROR(_xlfn.FORECAST.LINEAR(RIGHT(AC$6,2), $J15:$U15, VALUE(RIGHT($J$6:$U$6,2))), 0)</f>
      </c>
      <c r="AD15" s="214" cm="1">
        <f t="array" ref="AD15">IFERROR(_xlfn.FORECAST.LINEAR(RIGHT(AD$6,2), $J15:$U15, VALUE(RIGHT($J$6:$U$6,2))), 0)</f>
      </c>
      <c r="AE15" s="214" cm="1">
        <f t="array" ref="AE15">IFERROR(_xlfn.FORECAST.LINEAR(RIGHT(AE$6,2), $J15:$U15, VALUE(RIGHT($J$6:$U$6,2))), 0)</f>
      </c>
      <c r="AF15" s="214" cm="1">
        <f t="array" ref="AF15">IFERROR(_xlfn.FORECAST.LINEAR(RIGHT(AF$6,2), $J15:$U15, VALUE(RIGHT($J$6:$U$6,2))), 0)</f>
      </c>
      <c r="AG15" s="214" cm="1">
        <f t="array" ref="AG15">IFERROR(_xlfn.FORECAST.LINEAR(RIGHT(AG$6,2), $J15:$U15, VALUE(RIGHT($J$6:$U$6,2))), 0)</f>
      </c>
      <c r="AH15" s="214" cm="1">
        <f t="array" ref="AH15">IFERROR(_xlfn.FORECAST.LINEAR(RIGHT(AH$6,2), $J15:$U15, VALUE(RIGHT($J$6:$U$6,2))), 0)</f>
      </c>
    </row>
    <row r="16" spans="2:34" ht="3" customHeight="1" x14ac:dyDescent="0.3"/>
    <row r="17" spans="3:34" x14ac:dyDescent="0.3">
      <c r="C17" t="s">
        <v>4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Y17" s="71" cm="1">
        <f t="array" ref="Y17">IFERROR(_xlfn.FORECAST.LINEAR(RIGHT(Y$6,2), $J17:$U17, VALUE(RIGHT($J$6:$U$6,2))), 0)</f>
      </c>
      <c r="Z17" s="71" cm="1">
        <f t="array" ref="Z17">IFERROR(_xlfn.FORECAST.LINEAR(RIGHT(Z$6,2), $J17:$U17, VALUE(RIGHT($J$6:$U$6,2))), 0)</f>
      </c>
      <c r="AA17" s="71" cm="1">
        <f t="array" ref="AA17">IFERROR(_xlfn.FORECAST.LINEAR(RIGHT(AA$6,2), $J17:$U17, VALUE(RIGHT($J$6:$U$6,2))), 0)</f>
      </c>
      <c r="AB17" s="71" cm="1">
        <f t="array" ref="AB17">IFERROR(_xlfn.FORECAST.LINEAR(RIGHT(AB$6,2), $J17:$U17, VALUE(RIGHT($J$6:$U$6,2))), 0)</f>
      </c>
      <c r="AC17" s="71" cm="1">
        <f t="array" ref="AC17">IFERROR(_xlfn.FORECAST.LINEAR(RIGHT(AC$6,2), $J17:$U17, VALUE(RIGHT($J$6:$U$6,2))), 0)</f>
      </c>
      <c r="AD17" s="71" cm="1">
        <f t="array" ref="AD17">IFERROR(_xlfn.FORECAST.LINEAR(RIGHT(AD$6,2), $J17:$U17, VALUE(RIGHT($J$6:$U$6,2))), 0)</f>
      </c>
      <c r="AE17" s="71" cm="1">
        <f t="array" ref="AE17">IFERROR(_xlfn.FORECAST.LINEAR(RIGHT(AE$6,2), $J17:$U17, VALUE(RIGHT($J$6:$U$6,2))), 0)</f>
      </c>
      <c r="AF17" s="71" cm="1">
        <f t="array" ref="AF17">IFERROR(_xlfn.FORECAST.LINEAR(RIGHT(AF$6,2), $J17:$U17, VALUE(RIGHT($J$6:$U$6,2))), 0)</f>
      </c>
      <c r="AG17" s="71" cm="1">
        <f t="array" ref="AG17">IFERROR(_xlfn.FORECAST.LINEAR(RIGHT(AG$6,2), $J17:$U17, VALUE(RIGHT($J$6:$U$6,2))), 0)</f>
      </c>
      <c r="AH17" s="71" cm="1">
        <f t="array" ref="AH17">IFERROR(_xlfn.FORECAST.LINEAR(RIGHT(AH$6,2), $J17:$U17, VALUE(RIGHT($J$6:$U$6,2))), 0)</f>
      </c>
    </row>
    <row r="18" spans="3:34" ht="18" x14ac:dyDescent="0.35">
      <c r="C18" s="24" t="s">
        <v>511</v>
      </c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Y18" s="90" cm="1">
        <f t="array" ref="Y18">IFERROR(_xlfn.FORECAST.LINEAR(RIGHT(Y$6,2), $J18:$U18, VALUE(RIGHT($J$6:$U$6,2))), 0)</f>
      </c>
      <c r="Z18" s="90" cm="1">
        <f t="array" ref="Z18">IFERROR(_xlfn.FORECAST.LINEAR(RIGHT(Z$6,2), $J18:$U18, VALUE(RIGHT($J$6:$U$6,2))), 0)</f>
      </c>
      <c r="AA18" s="90" cm="1">
        <f t="array" ref="AA18">IFERROR(_xlfn.FORECAST.LINEAR(RIGHT(AA$6,2), $J18:$U18, VALUE(RIGHT($J$6:$U$6,2))), 0)</f>
      </c>
      <c r="AB18" s="90" cm="1">
        <f t="array" ref="AB18">IFERROR(_xlfn.FORECAST.LINEAR(RIGHT(AB$6,2), $J18:$U18, VALUE(RIGHT($J$6:$U$6,2))), 0)</f>
      </c>
      <c r="AC18" s="90" cm="1">
        <f t="array" ref="AC18">IFERROR(_xlfn.FORECAST.LINEAR(RIGHT(AC$6,2), $J18:$U18, VALUE(RIGHT($J$6:$U$6,2))), 0)</f>
      </c>
      <c r="AD18" s="90" cm="1">
        <f t="array" ref="AD18">IFERROR(_xlfn.FORECAST.LINEAR(RIGHT(AD$6,2), $J18:$U18, VALUE(RIGHT($J$6:$U$6,2))), 0)</f>
      </c>
      <c r="AE18" s="90" cm="1">
        <f t="array" ref="AE18">IFERROR(_xlfn.FORECAST.LINEAR(RIGHT(AE$6,2), $J18:$U18, VALUE(RIGHT($J$6:$U$6,2))), 0)</f>
      </c>
      <c r="AF18" s="90" cm="1">
        <f t="array" ref="AF18">IFERROR(_xlfn.FORECAST.LINEAR(RIGHT(AF$6,2), $J18:$U18, VALUE(RIGHT($J$6:$U$6,2))), 0)</f>
      </c>
      <c r="AG18" s="90" cm="1">
        <f t="array" ref="AG18">IFERROR(_xlfn.FORECAST.LINEAR(RIGHT(AG$6,2), $J18:$U18, VALUE(RIGHT($J$6:$U$6,2))), 0)</f>
      </c>
      <c r="AH18" s="90" cm="1">
        <f t="array" ref="AH18">IFERROR(_xlfn.FORECAST.LINEAR(RIGHT(AH$6,2), $J18:$U18, VALUE(RIGHT($J$6:$U$6,2))), 0)</f>
      </c>
    </row>
    <row r="19" spans="3:34" ht="3" customHeight="1" x14ac:dyDescent="0.3"/>
    <row r="20" spans="3:34" ht="18" x14ac:dyDescent="0.35">
      <c r="C20" s="24" t="s">
        <v>512</v>
      </c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Y20" s="90" cm="1">
        <f t="array" ref="Y20">IFERROR(_xlfn.FORECAST.LINEAR(RIGHT(Y$6,2), $J20:$U20, VALUE(RIGHT($J$6:$U$6,2))), 0)</f>
      </c>
      <c r="Z20" s="90" cm="1">
        <f t="array" ref="Z20">IFERROR(_xlfn.FORECAST.LINEAR(RIGHT(Z$6,2), $J20:$U20, VALUE(RIGHT($J$6:$U$6,2))), 0)</f>
      </c>
      <c r="AA20" s="90" cm="1">
        <f t="array" ref="AA20">IFERROR(_xlfn.FORECAST.LINEAR(RIGHT(AA$6,2), $J20:$U20, VALUE(RIGHT($J$6:$U$6,2))), 0)</f>
      </c>
      <c r="AB20" s="90" cm="1">
        <f t="array" ref="AB20">IFERROR(_xlfn.FORECAST.LINEAR(RIGHT(AB$6,2), $J20:$U20, VALUE(RIGHT($J$6:$U$6,2))), 0)</f>
      </c>
      <c r="AC20" s="90" cm="1">
        <f t="array" ref="AC20">IFERROR(_xlfn.FORECAST.LINEAR(RIGHT(AC$6,2), $J20:$U20, VALUE(RIGHT($J$6:$U$6,2))), 0)</f>
      </c>
      <c r="AD20" s="90" cm="1">
        <f t="array" ref="AD20">IFERROR(_xlfn.FORECAST.LINEAR(RIGHT(AD$6,2), $J20:$U20, VALUE(RIGHT($J$6:$U$6,2))), 0)</f>
      </c>
      <c r="AE20" s="90" cm="1">
        <f t="array" ref="AE20">IFERROR(_xlfn.FORECAST.LINEAR(RIGHT(AE$6,2), $J20:$U20, VALUE(RIGHT($J$6:$U$6,2))), 0)</f>
      </c>
      <c r="AF20" s="90" cm="1">
        <f t="array" ref="AF20">IFERROR(_xlfn.FORECAST.LINEAR(RIGHT(AF$6,2), $J20:$U20, VALUE(RIGHT($J$6:$U$6,2))), 0)</f>
      </c>
      <c r="AG20" s="90" cm="1">
        <f t="array" ref="AG20">IFERROR(_xlfn.FORECAST.LINEAR(RIGHT(AG$6,2), $J20:$U20, VALUE(RIGHT($J$6:$U$6,2))), 0)</f>
      </c>
      <c r="AH20" s="90" cm="1">
        <f t="array" ref="AH20">IFERROR(_xlfn.FORECAST.LINEAR(RIGHT(AH$6,2), $J20:$U20, VALUE(RIGHT($J$6:$U$6,2))), 0)</f>
      </c>
    </row>
    <row r="21" spans="3:34" ht="3" customHeight="1" x14ac:dyDescent="0.3"/>
    <row r="22" spans="3:34" ht="18" x14ac:dyDescent="0.35">
      <c r="C22" s="24" t="s">
        <v>513</v>
      </c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Y22" s="90" cm="1">
        <f t="array" ref="Y22">IFERROR(_xlfn.FORECAST.LINEAR(RIGHT(Y$6,2), $J22:$U22, VALUE(RIGHT($J$6:$U$6,2))), 0)</f>
      </c>
      <c r="Z22" s="90" cm="1">
        <f t="array" ref="Z22">IFERROR(_xlfn.FORECAST.LINEAR(RIGHT(Z$6,2), $J22:$U22, VALUE(RIGHT($J$6:$U$6,2))), 0)</f>
      </c>
      <c r="AA22" s="90" cm="1">
        <f t="array" ref="AA22">IFERROR(_xlfn.FORECAST.LINEAR(RIGHT(AA$6,2), $J22:$U22, VALUE(RIGHT($J$6:$U$6,2))), 0)</f>
      </c>
      <c r="AB22" s="90" cm="1">
        <f t="array" ref="AB22">IFERROR(_xlfn.FORECAST.LINEAR(RIGHT(AB$6,2), $J22:$U22, VALUE(RIGHT($J$6:$U$6,2))), 0)</f>
      </c>
      <c r="AC22" s="90" cm="1">
        <f t="array" ref="AC22">IFERROR(_xlfn.FORECAST.LINEAR(RIGHT(AC$6,2), $J22:$U22, VALUE(RIGHT($J$6:$U$6,2))), 0)</f>
      </c>
      <c r="AD22" s="90" cm="1">
        <f t="array" ref="AD22">IFERROR(_xlfn.FORECAST.LINEAR(RIGHT(AD$6,2), $J22:$U22, VALUE(RIGHT($J$6:$U$6,2))), 0)</f>
      </c>
      <c r="AE22" s="90" cm="1">
        <f t="array" ref="AE22">IFERROR(_xlfn.FORECAST.LINEAR(RIGHT(AE$6,2), $J22:$U22, VALUE(RIGHT($J$6:$U$6,2))), 0)</f>
      </c>
      <c r="AF22" s="90" cm="1">
        <f t="array" ref="AF22">IFERROR(_xlfn.FORECAST.LINEAR(RIGHT(AF$6,2), $J22:$U22, VALUE(RIGHT($J$6:$U$6,2))), 0)</f>
      </c>
      <c r="AG22" s="90" cm="1">
        <f t="array" ref="AG22">IFERROR(_xlfn.FORECAST.LINEAR(RIGHT(AG$6,2), $J22:$U22, VALUE(RIGHT($J$6:$U$6,2))), 0)</f>
      </c>
      <c r="AH22" s="90" cm="1">
        <f t="array" ref="AH22">IFERROR(_xlfn.FORECAST.LINEAR(RIGHT(AH$6,2), $J22:$U22, VALUE(RIGHT($J$6:$U$6,2))), 0)</f>
      </c>
    </row>
    <row r="23" spans="3:34" ht="3" customHeight="1" x14ac:dyDescent="0.3"/>
    <row r="24" spans="3:34" x14ac:dyDescent="0.3">
      <c r="C24" s="2" t="s">
        <v>514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spans="3:34" ht="3" customHeight="1" x14ac:dyDescent="0.3"/>
    <row r="26" spans="3:34" x14ac:dyDescent="0.3">
      <c r="C26" t="s">
        <v>8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spans="3:34" ht="18.600000000000001" thickBot="1" x14ac:dyDescent="0.4">
      <c r="C27" s="24" t="s">
        <v>515</v>
      </c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Y27" s="90" cm="1">
        <f t="array" ref="Y27">IFERROR(_xlfn.FORECAST.LINEAR(RIGHT(Y$6,2), $J27:$U27, VALUE(RIGHT($J$6:$U$6,2))), 0)</f>
      </c>
      <c r="Z27" s="90" cm="1">
        <f t="array" ref="Z27">IFERROR(_xlfn.FORECAST.LINEAR(RIGHT(Z$6,2), $J27:$U27, VALUE(RIGHT($J$6:$U$6,2))), 0)</f>
      </c>
      <c r="AA27" s="90" cm="1">
        <f t="array" ref="AA27">IFERROR(_xlfn.FORECAST.LINEAR(RIGHT(AA$6,2), $J27:$U27, VALUE(RIGHT($J$6:$U$6,2))), 0)</f>
      </c>
      <c r="AB27" s="90" cm="1">
        <f t="array" ref="AB27">IFERROR(_xlfn.FORECAST.LINEAR(RIGHT(AB$6,2), $J27:$U27, VALUE(RIGHT($J$6:$U$6,2))), 0)</f>
      </c>
      <c r="AC27" s="90" cm="1">
        <f t="array" ref="AC27">IFERROR(_xlfn.FORECAST.LINEAR(RIGHT(AC$6,2), $J27:$U27, VALUE(RIGHT($J$6:$U$6,2))), 0)</f>
      </c>
      <c r="AD27" s="90" cm="1">
        <f t="array" ref="AD27">IFERROR(_xlfn.FORECAST.LINEAR(RIGHT(AD$6,2), $J27:$U27, VALUE(RIGHT($J$6:$U$6,2))), 0)</f>
      </c>
      <c r="AE27" s="90" cm="1">
        <f t="array" ref="AE27">IFERROR(_xlfn.FORECAST.LINEAR(RIGHT(AE$6,2), $J27:$U27, VALUE(RIGHT($J$6:$U$6,2))), 0)</f>
      </c>
      <c r="AF27" s="90" cm="1">
        <f t="array" ref="AF27">IFERROR(_xlfn.FORECAST.LINEAR(RIGHT(AF$6,2), $J27:$U27, VALUE(RIGHT($J$6:$U$6,2))), 0)</f>
      </c>
      <c r="AG27" s="90" cm="1">
        <f t="array" ref="AG27">IFERROR(_xlfn.FORECAST.LINEAR(RIGHT(AG$6,2), $J27:$U27, VALUE(RIGHT($J$6:$U$6,2))), 0)</f>
      </c>
      <c r="AH27" s="90" cm="1">
        <f t="array" ref="AH27">IFERROR(_xlfn.FORECAST.LINEAR(RIGHT(AH$6,2), $J27:$U27, VALUE(RIGHT($J$6:$U$6,2))), 0)</f>
      </c>
    </row>
    <row r="28" spans="3:34" ht="3" customHeight="1" thickTop="1" x14ac:dyDescent="0.3"/>
    <row r="29" spans="3:34" x14ac:dyDescent="0.3">
      <c r="C29" s="2" t="s">
        <v>516</v>
      </c>
    </row>
    <row r="30" spans="3:34" x14ac:dyDescent="0.3">
      <c r="D30" s="13" t="s">
        <v>517</v>
      </c>
      <c r="E30" s="13"/>
      <c r="F30" s="13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Y30" s="71" cm="1">
        <f t="array" ref="Y30">IFERROR(_xlfn.FORECAST.LINEAR(RIGHT(Y$6,2), $J30:$U30, VALUE(RIGHT($J$6:$U$6,2))), 0)</f>
      </c>
      <c r="Z30" s="71" cm="1">
        <f t="array" ref="Z30">IFERROR(_xlfn.FORECAST.LINEAR(RIGHT(Z$6,2), $J30:$U30, VALUE(RIGHT($J$6:$U$6,2))), 0)</f>
      </c>
      <c r="AA30" s="71" cm="1">
        <f t="array" ref="AA30">IFERROR(_xlfn.FORECAST.LINEAR(RIGHT(AA$6,2), $J30:$U30, VALUE(RIGHT($J$6:$U$6,2))), 0)</f>
      </c>
      <c r="AB30" s="71" cm="1">
        <f t="array" ref="AB30">IFERROR(_xlfn.FORECAST.LINEAR(RIGHT(AB$6,2), $J30:$U30, VALUE(RIGHT($J$6:$U$6,2))), 0)</f>
      </c>
      <c r="AC30" s="71" cm="1">
        <f t="array" ref="AC30">IFERROR(_xlfn.FORECAST.LINEAR(RIGHT(AC$6,2), $J30:$U30, VALUE(RIGHT($J$6:$U$6,2))), 0)</f>
      </c>
      <c r="AD30" s="71" cm="1">
        <f t="array" ref="AD30">IFERROR(_xlfn.FORECAST.LINEAR(RIGHT(AD$6,2), $J30:$U30, VALUE(RIGHT($J$6:$U$6,2))), 0)</f>
      </c>
      <c r="AE30" s="71" cm="1">
        <f t="array" ref="AE30">IFERROR(_xlfn.FORECAST.LINEAR(RIGHT(AE$6,2), $J30:$U30, VALUE(RIGHT($J$6:$U$6,2))), 0)</f>
      </c>
      <c r="AF30" s="71" cm="1">
        <f t="array" ref="AF30">IFERROR(_xlfn.FORECAST.LINEAR(RIGHT(AF$6,2), $J30:$U30, VALUE(RIGHT($J$6:$U$6,2))), 0)</f>
      </c>
      <c r="AG30" s="71" cm="1">
        <f t="array" ref="AG30">IFERROR(_xlfn.FORECAST.LINEAR(RIGHT(AG$6,2), $J30:$U30, VALUE(RIGHT($J$6:$U$6,2))), 0)</f>
      </c>
      <c r="AH30" s="71" cm="1">
        <f t="array" ref="AH30">IFERROR(_xlfn.FORECAST.LINEAR(RIGHT(AH$6,2), $J30:$U30, VALUE(RIGHT($J$6:$U$6,2))), 0)</f>
      </c>
    </row>
    <row r="31" spans="3:34" x14ac:dyDescent="0.3">
      <c r="D31" s="13" t="s">
        <v>518</v>
      </c>
      <c r="E31" s="13"/>
      <c r="F31" s="13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Y31" s="71" cm="1">
        <f t="array" ref="Y31">IFERROR(_xlfn.FORECAST.LINEAR(RIGHT(Y$6,2), $J31:$U31, VALUE(RIGHT($J$6:$U$6,2))), 0)</f>
      </c>
      <c r="Z31" s="71" cm="1">
        <f t="array" ref="Z31">IFERROR(_xlfn.FORECAST.LINEAR(RIGHT(Z$6,2), $J31:$U31, VALUE(RIGHT($J$6:$U$6,2))), 0)</f>
      </c>
      <c r="AA31" s="71" cm="1">
        <f t="array" ref="AA31">IFERROR(_xlfn.FORECAST.LINEAR(RIGHT(AA$6,2), $J31:$U31, VALUE(RIGHT($J$6:$U$6,2))), 0)</f>
      </c>
      <c r="AB31" s="71" cm="1">
        <f t="array" ref="AB31">IFERROR(_xlfn.FORECAST.LINEAR(RIGHT(AB$6,2), $J31:$U31, VALUE(RIGHT($J$6:$U$6,2))), 0)</f>
      </c>
      <c r="AC31" s="71" cm="1">
        <f t="array" ref="AC31">IFERROR(_xlfn.FORECAST.LINEAR(RIGHT(AC$6,2), $J31:$U31, VALUE(RIGHT($J$6:$U$6,2))), 0)</f>
      </c>
      <c r="AD31" s="71" cm="1">
        <f t="array" ref="AD31">IFERROR(_xlfn.FORECAST.LINEAR(RIGHT(AD$6,2), $J31:$U31, VALUE(RIGHT($J$6:$U$6,2))), 0)</f>
      </c>
      <c r="AE31" s="71" cm="1">
        <f t="array" ref="AE31">IFERROR(_xlfn.FORECAST.LINEAR(RIGHT(AE$6,2), $J31:$U31, VALUE(RIGHT($J$6:$U$6,2))), 0)</f>
      </c>
      <c r="AF31" s="71" cm="1">
        <f t="array" ref="AF31">IFERROR(_xlfn.FORECAST.LINEAR(RIGHT(AF$6,2), $J31:$U31, VALUE(RIGHT($J$6:$U$6,2))), 0)</f>
      </c>
      <c r="AG31" s="71" cm="1">
        <f t="array" ref="AG31">IFERROR(_xlfn.FORECAST.LINEAR(RIGHT(AG$6,2), $J31:$U31, VALUE(RIGHT($J$6:$U$6,2))), 0)</f>
      </c>
      <c r="AH31" s="71" cm="1">
        <f t="array" ref="AH31">IFERROR(_xlfn.FORECAST.LINEAR(RIGHT(AH$6,2), $J31:$U31, VALUE(RIGHT($J$6:$U$6,2))), 0)</f>
      </c>
    </row>
    <row r="32" spans="3:34" x14ac:dyDescent="0.3">
      <c r="D32" s="13" t="s">
        <v>519</v>
      </c>
      <c r="E32" s="13"/>
      <c r="F32" s="13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Y32" s="71" cm="1">
        <f t="array" ref="Y32">IFERROR(_xlfn.FORECAST.LINEAR(RIGHT(Y$6,2), $J32:$U32, VALUE(RIGHT($J$6:$U$6,2))), 0)</f>
      </c>
      <c r="Z32" s="71" cm="1">
        <f t="array" ref="Z32">IFERROR(_xlfn.FORECAST.LINEAR(RIGHT(Z$6,2), $J32:$U32, VALUE(RIGHT($J$6:$U$6,2))), 0)</f>
      </c>
      <c r="AA32" s="71" cm="1">
        <f t="array" ref="AA32">IFERROR(_xlfn.FORECAST.LINEAR(RIGHT(AA$6,2), $J32:$U32, VALUE(RIGHT($J$6:$U$6,2))), 0)</f>
      </c>
      <c r="AB32" s="71" cm="1">
        <f t="array" ref="AB32">IFERROR(_xlfn.FORECAST.LINEAR(RIGHT(AB$6,2), $J32:$U32, VALUE(RIGHT($J$6:$U$6,2))), 0)</f>
      </c>
      <c r="AC32" s="71" cm="1">
        <f t="array" ref="AC32">IFERROR(_xlfn.FORECAST.LINEAR(RIGHT(AC$6,2), $J32:$U32, VALUE(RIGHT($J$6:$U$6,2))), 0)</f>
      </c>
      <c r="AD32" s="71" cm="1">
        <f t="array" ref="AD32">IFERROR(_xlfn.FORECAST.LINEAR(RIGHT(AD$6,2), $J32:$U32, VALUE(RIGHT($J$6:$U$6,2))), 0)</f>
      </c>
      <c r="AE32" s="71" cm="1">
        <f t="array" ref="AE32">IFERROR(_xlfn.FORECAST.LINEAR(RIGHT(AE$6,2), $J32:$U32, VALUE(RIGHT($J$6:$U$6,2))), 0)</f>
      </c>
      <c r="AF32" s="71" cm="1">
        <f t="array" ref="AF32">IFERROR(_xlfn.FORECAST.LINEAR(RIGHT(AF$6,2), $J32:$U32, VALUE(RIGHT($J$6:$U$6,2))), 0)</f>
      </c>
      <c r="AG32" s="71" cm="1">
        <f t="array" ref="AG32">IFERROR(_xlfn.FORECAST.LINEAR(RIGHT(AG$6,2), $J32:$U32, VALUE(RIGHT($J$6:$U$6,2))), 0)</f>
      </c>
      <c r="AH32" s="71" cm="1">
        <f t="array" ref="AH32">IFERROR(_xlfn.FORECAST.LINEAR(RIGHT(AH$6,2), $J32:$U32, VALUE(RIGHT($J$6:$U$6,2))), 0)</f>
      </c>
    </row>
    <row r="33" spans="3:34" x14ac:dyDescent="0.3">
      <c r="D33" s="13" t="s">
        <v>520</v>
      </c>
      <c r="E33" s="13"/>
      <c r="F33" s="13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Y33" s="71" cm="1">
        <f t="array" ref="Y33">IFERROR(_xlfn.FORECAST.LINEAR(RIGHT(Y$6,2), $J33:$U33, VALUE(RIGHT($J$6:$U$6,2))), 0)</f>
      </c>
      <c r="Z33" s="71" cm="1">
        <f t="array" ref="Z33">IFERROR(_xlfn.FORECAST.LINEAR(RIGHT(Z$6,2), $J33:$U33, VALUE(RIGHT($J$6:$U$6,2))), 0)</f>
      </c>
      <c r="AA33" s="71" cm="1">
        <f t="array" ref="AA33">IFERROR(_xlfn.FORECAST.LINEAR(RIGHT(AA$6,2), $J33:$U33, VALUE(RIGHT($J$6:$U$6,2))), 0)</f>
      </c>
      <c r="AB33" s="71" cm="1">
        <f t="array" ref="AB33">IFERROR(_xlfn.FORECAST.LINEAR(RIGHT(AB$6,2), $J33:$U33, VALUE(RIGHT($J$6:$U$6,2))), 0)</f>
      </c>
      <c r="AC33" s="71" cm="1">
        <f t="array" ref="AC33">IFERROR(_xlfn.FORECAST.LINEAR(RIGHT(AC$6,2), $J33:$U33, VALUE(RIGHT($J$6:$U$6,2))), 0)</f>
      </c>
      <c r="AD33" s="71" cm="1">
        <f t="array" ref="AD33">IFERROR(_xlfn.FORECAST.LINEAR(RIGHT(AD$6,2), $J33:$U33, VALUE(RIGHT($J$6:$U$6,2))), 0)</f>
      </c>
      <c r="AE33" s="71" cm="1">
        <f t="array" ref="AE33">IFERROR(_xlfn.FORECAST.LINEAR(RIGHT(AE$6,2), $J33:$U33, VALUE(RIGHT($J$6:$U$6,2))), 0)</f>
      </c>
      <c r="AF33" s="71" cm="1">
        <f t="array" ref="AF33">IFERROR(_xlfn.FORECAST.LINEAR(RIGHT(AF$6,2), $J33:$U33, VALUE(RIGHT($J$6:$U$6,2))), 0)</f>
      </c>
      <c r="AG33" s="71" cm="1">
        <f t="array" ref="AG33">IFERROR(_xlfn.FORECAST.LINEAR(RIGHT(AG$6,2), $J33:$U33, VALUE(RIGHT($J$6:$U$6,2))), 0)</f>
      </c>
      <c r="AH33" s="71" cm="1">
        <f t="array" ref="AH33">IFERROR(_xlfn.FORECAST.LINEAR(RIGHT(AH$6,2), $J33:$U33, VALUE(RIGHT($J$6:$U$6,2))), 0)</f>
      </c>
    </row>
    <row r="34" spans="3:34" x14ac:dyDescent="0.3">
      <c r="D34" s="13" t="s">
        <v>521</v>
      </c>
      <c r="E34" s="13"/>
      <c r="F34" s="13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Y34" s="71" cm="1">
        <f t="array" ref="Y34">IFERROR(_xlfn.FORECAST.LINEAR(RIGHT(Y$6,2), $J34:$U34, VALUE(RIGHT($J$6:$U$6,2))), 0)</f>
      </c>
      <c r="Z34" s="71" cm="1">
        <f t="array" ref="Z34">IFERROR(_xlfn.FORECAST.LINEAR(RIGHT(Z$6,2), $J34:$U34, VALUE(RIGHT($J$6:$U$6,2))), 0)</f>
      </c>
      <c r="AA34" s="71" cm="1">
        <f t="array" ref="AA34">IFERROR(_xlfn.FORECAST.LINEAR(RIGHT(AA$6,2), $J34:$U34, VALUE(RIGHT($J$6:$U$6,2))), 0)</f>
      </c>
      <c r="AB34" s="71" cm="1">
        <f t="array" ref="AB34">IFERROR(_xlfn.FORECAST.LINEAR(RIGHT(AB$6,2), $J34:$U34, VALUE(RIGHT($J$6:$U$6,2))), 0)</f>
      </c>
      <c r="AC34" s="71" cm="1">
        <f t="array" ref="AC34">IFERROR(_xlfn.FORECAST.LINEAR(RIGHT(AC$6,2), $J34:$U34, VALUE(RIGHT($J$6:$U$6,2))), 0)</f>
      </c>
      <c r="AD34" s="71" cm="1">
        <f t="array" ref="AD34">IFERROR(_xlfn.FORECAST.LINEAR(RIGHT(AD$6,2), $J34:$U34, VALUE(RIGHT($J$6:$U$6,2))), 0)</f>
      </c>
      <c r="AE34" s="71" cm="1">
        <f t="array" ref="AE34">IFERROR(_xlfn.FORECAST.LINEAR(RIGHT(AE$6,2), $J34:$U34, VALUE(RIGHT($J$6:$U$6,2))), 0)</f>
      </c>
      <c r="AF34" s="71" cm="1">
        <f t="array" ref="AF34">IFERROR(_xlfn.FORECAST.LINEAR(RIGHT(AF$6,2), $J34:$U34, VALUE(RIGHT($J$6:$U$6,2))), 0)</f>
      </c>
      <c r="AG34" s="71" cm="1">
        <f t="array" ref="AG34">IFERROR(_xlfn.FORECAST.LINEAR(RIGHT(AG$6,2), $J34:$U34, VALUE(RIGHT($J$6:$U$6,2))), 0)</f>
      </c>
      <c r="AH34" s="71" cm="1">
        <f t="array" ref="AH34">IFERROR(_xlfn.FORECAST.LINEAR(RIGHT(AH$6,2), $J34:$U34, VALUE(RIGHT($J$6:$U$6,2))), 0)</f>
      </c>
    </row>
    <row r="35" spans="3:34" x14ac:dyDescent="0.3">
      <c r="D35" s="13" t="s">
        <v>522</v>
      </c>
      <c r="E35" s="13"/>
      <c r="F35" s="13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Y35" s="71" cm="1">
        <f t="array" ref="Y35">IFERROR(_xlfn.FORECAST.LINEAR(RIGHT(Y$6,2), $J35:$U35, VALUE(RIGHT($J$6:$U$6,2))), 0)</f>
      </c>
      <c r="Z35" s="71" cm="1">
        <f t="array" ref="Z35">IFERROR(_xlfn.FORECAST.LINEAR(RIGHT(Z$6,2), $J35:$U35, VALUE(RIGHT($J$6:$U$6,2))), 0)</f>
      </c>
      <c r="AA35" s="71" cm="1">
        <f t="array" ref="AA35">IFERROR(_xlfn.FORECAST.LINEAR(RIGHT(AA$6,2), $J35:$U35, VALUE(RIGHT($J$6:$U$6,2))), 0)</f>
      </c>
      <c r="AB35" s="71" cm="1">
        <f t="array" ref="AB35">IFERROR(_xlfn.FORECAST.LINEAR(RIGHT(AB$6,2), $J35:$U35, VALUE(RIGHT($J$6:$U$6,2))), 0)</f>
      </c>
      <c r="AC35" s="71" cm="1">
        <f t="array" ref="AC35">IFERROR(_xlfn.FORECAST.LINEAR(RIGHT(AC$6,2), $J35:$U35, VALUE(RIGHT($J$6:$U$6,2))), 0)</f>
      </c>
      <c r="AD35" s="71" cm="1">
        <f t="array" ref="AD35">IFERROR(_xlfn.FORECAST.LINEAR(RIGHT(AD$6,2), $J35:$U35, VALUE(RIGHT($J$6:$U$6,2))), 0)</f>
      </c>
      <c r="AE35" s="71" cm="1">
        <f t="array" ref="AE35">IFERROR(_xlfn.FORECAST.LINEAR(RIGHT(AE$6,2), $J35:$U35, VALUE(RIGHT($J$6:$U$6,2))), 0)</f>
      </c>
      <c r="AF35" s="71" cm="1">
        <f t="array" ref="AF35">IFERROR(_xlfn.FORECAST.LINEAR(RIGHT(AF$6,2), $J35:$U35, VALUE(RIGHT($J$6:$U$6,2))), 0)</f>
      </c>
      <c r="AG35" s="71" cm="1">
        <f t="array" ref="AG35">IFERROR(_xlfn.FORECAST.LINEAR(RIGHT(AG$6,2), $J35:$U35, VALUE(RIGHT($J$6:$U$6,2))), 0)</f>
      </c>
      <c r="AH35" s="71" cm="1">
        <f t="array" ref="AH35">IFERROR(_xlfn.FORECAST.LINEAR(RIGHT(AH$6,2), $J35:$U35, VALUE(RIGHT($J$6:$U$6,2))), 0)</f>
      </c>
    </row>
    <row r="36" spans="3:34" ht="3" customHeight="1" x14ac:dyDescent="0.3"/>
    <row r="37" spans="3:34" ht="18.600000000000001" thickBot="1" x14ac:dyDescent="0.4">
      <c r="C37" s="24" t="s">
        <v>523</v>
      </c>
      <c r="J37" s="220"/>
      <c r="K37" s="220"/>
      <c r="L37" s="220">
        <f>'Data Sheet'!B30</f>
      </c>
      <c r="M37" s="220">
        <f>'Data Sheet'!C30</f>
      </c>
      <c r="N37" s="220">
        <f>'Data Sheet'!D30</f>
      </c>
      <c r="O37" s="220">
        <f>'Data Sheet'!E30</f>
      </c>
      <c r="P37" s="220">
        <f>'Data Sheet'!F30</f>
      </c>
      <c r="Q37" s="220">
        <f>'Data Sheet'!G30</f>
      </c>
      <c r="R37" s="220">
        <f>'Data Sheet'!H30</f>
      </c>
      <c r="S37" s="220">
        <f>'Data Sheet'!I30</f>
      </c>
      <c r="T37" s="220">
        <f>'Data Sheet'!J30</f>
      </c>
      <c r="U37" s="220">
        <f>'Data Sheet'!K30</f>
      </c>
      <c r="Y37" s="90" cm="1">
        <f t="array" ref="Y37">IFERROR(_xlfn.FORECAST.LINEAR(RIGHT(Y$6,2), $J37:$U37, VALUE(RIGHT($J$6:$U$6,2))), 0)</f>
      </c>
      <c r="Z37" s="90" cm="1">
        <f t="array" ref="Z37">IFERROR(_xlfn.FORECAST.LINEAR(RIGHT(Z$6,2), $J37:$U37, VALUE(RIGHT($J$6:$U$6,2))), 0)</f>
      </c>
      <c r="AA37" s="90" cm="1">
        <f t="array" ref="AA37">IFERROR(_xlfn.FORECAST.LINEAR(RIGHT(AA$6,2), $J37:$U37, VALUE(RIGHT($J$6:$U$6,2))), 0)</f>
      </c>
      <c r="AB37" s="90" cm="1">
        <f t="array" ref="AB37">IFERROR(_xlfn.FORECAST.LINEAR(RIGHT(AB$6,2), $J37:$U37, VALUE(RIGHT($J$6:$U$6,2))), 0)</f>
      </c>
      <c r="AC37" s="90" cm="1">
        <f t="array" ref="AC37">IFERROR(_xlfn.FORECAST.LINEAR(RIGHT(AC$6,2), $J37:$U37, VALUE(RIGHT($J$6:$U$6,2))), 0)</f>
      </c>
      <c r="AD37" s="90" cm="1">
        <f t="array" ref="AD37">IFERROR(_xlfn.FORECAST.LINEAR(RIGHT(AD$6,2), $J37:$U37, VALUE(RIGHT($J$6:$U$6,2))), 0)</f>
      </c>
      <c r="AE37" s="90" cm="1">
        <f t="array" ref="AE37">IFERROR(_xlfn.FORECAST.LINEAR(RIGHT(AE$6,2), $J37:$U37, VALUE(RIGHT($J$6:$U$6,2))), 0)</f>
      </c>
      <c r="AF37" s="90" cm="1">
        <f t="array" ref="AF37">IFERROR(_xlfn.FORECAST.LINEAR(RIGHT(AF$6,2), $J37:$U37, VALUE(RIGHT($J$6:$U$6,2))), 0)</f>
      </c>
      <c r="AG37" s="90" cm="1">
        <f t="array" ref="AG37">IFERROR(_xlfn.FORECAST.LINEAR(RIGHT(AG$6,2), $J37:$U37, VALUE(RIGHT($J$6:$U$6,2))), 0)</f>
      </c>
      <c r="AH37" s="90" cm="1">
        <f t="array" ref="AH37">IFERROR(_xlfn.FORECAST.LINEAR(RIGHT(AH$6,2), $J37:$U37, VALUE(RIGHT($J$6:$U$6,2))), 0)</f>
      </c>
    </row>
    <row r="38" spans="3:34" ht="15" thickTop="1" x14ac:dyDescent="0.3"/>
    <row r="39" spans="3:34" x14ac:dyDescent="0.3">
      <c r="C39" s="2" t="s">
        <v>240</v>
      </c>
      <c r="H39" s="77" t="str">
        <f>HistoricalData!H349</f>
      </c>
      <c r="J39" s="56">
        <f>HistoricalData!J349</f>
      </c>
      <c r="K39" s="56">
        <f>HistoricalData!K349</f>
      </c>
      <c r="L39" s="56">
        <f>HistoricalData!L349</f>
      </c>
      <c r="M39" s="56">
        <f>HistoricalData!M349</f>
      </c>
      <c r="N39" s="56">
        <f>HistoricalData!N349</f>
      </c>
      <c r="O39" s="56">
        <f>HistoricalData!O349</f>
      </c>
      <c r="P39" s="56">
        <f>HistoricalData!P349</f>
      </c>
      <c r="Q39" s="56">
        <f>HistoricalData!Q349</f>
      </c>
      <c r="R39" s="56">
        <f>HistoricalData!R349</f>
      </c>
      <c r="S39" s="56">
        <f>HistoricalData!S349</f>
      </c>
      <c r="T39" s="56">
        <f>HistoricalData!T349</f>
      </c>
      <c r="U39" s="56">
        <f>HistoricalData!U349</f>
      </c>
      <c r="Y39" s="40">
        <f>$U39</f>
      </c>
      <c r="Z39" s="40">
        <f t="shared" ref="Z39:AH39" si="2">$U39</f>
      </c>
      <c r="AA39" s="40">
        <f t="shared" si="2"/>
      </c>
      <c r="AB39" s="40">
        <f t="shared" si="2"/>
      </c>
      <c r="AC39" s="40">
        <f t="shared" si="2"/>
      </c>
      <c r="AD39" s="40">
        <f t="shared" si="2"/>
      </c>
      <c r="AE39" s="40">
        <f t="shared" si="2"/>
      </c>
      <c r="AF39" s="40">
        <f t="shared" si="2"/>
      </c>
      <c r="AG39" s="40">
        <f t="shared" si="2"/>
      </c>
      <c r="AH39" s="40">
        <f t="shared" si="2"/>
      </c>
    </row>
    <row r="40" spans="3:34" x14ac:dyDescent="0.3">
      <c r="C40" s="2" t="s">
        <v>368</v>
      </c>
      <c r="H40" s="77" t="str">
        <f>HistoricalData!H350</f>
      </c>
      <c r="J40" s="56">
        <f>HistoricalData!J350</f>
      </c>
      <c r="K40" s="56">
        <f>HistoricalData!K350</f>
      </c>
      <c r="L40" s="56">
        <f>HistoricalData!L350</f>
      </c>
      <c r="M40" s="56">
        <f>HistoricalData!M350</f>
      </c>
      <c r="N40" s="56">
        <f>HistoricalData!N350</f>
      </c>
      <c r="O40" s="56">
        <f>HistoricalData!O350</f>
      </c>
      <c r="P40" s="56">
        <f>HistoricalData!P350</f>
      </c>
      <c r="Q40" s="56">
        <f>HistoricalData!Q350</f>
      </c>
      <c r="R40" s="56">
        <f>HistoricalData!R350</f>
      </c>
      <c r="S40" s="56">
        <f>HistoricalData!S350</f>
      </c>
      <c r="T40" s="56">
        <f>HistoricalData!T350</f>
      </c>
      <c r="U40" s="56">
        <f>HistoricalData!U350</f>
      </c>
      <c r="Y40" s="40">
        <f>IFERROR(Y37/Y39, 0)</f>
      </c>
      <c r="Z40" s="40">
        <f t="shared" ref="Z40:AH40" si="3">IFERROR(Z37/Z39, 0)</f>
      </c>
      <c r="AA40" s="40">
        <f t="shared" si="3"/>
      </c>
      <c r="AB40" s="40">
        <f t="shared" si="3"/>
      </c>
      <c r="AC40" s="40">
        <f t="shared" si="3"/>
      </c>
      <c r="AD40" s="40">
        <f t="shared" si="3"/>
      </c>
      <c r="AE40" s="40">
        <f t="shared" si="3"/>
      </c>
      <c r="AF40" s="40">
        <f t="shared" si="3"/>
      </c>
      <c r="AG40" s="40">
        <f t="shared" si="3"/>
      </c>
      <c r="AH40" s="40">
        <f t="shared" si="3"/>
      </c>
    </row>
    <row r="41" spans="3:34" x14ac:dyDescent="0.3">
      <c r="C41" s="2" t="s">
        <v>116</v>
      </c>
      <c r="H41" s="77" t="str">
        <f>H40</f>
      </c>
      <c r="J41" s="56">
        <f>HistoricalData!J351</f>
      </c>
      <c r="K41" s="56">
        <f>HistoricalData!K351</f>
      </c>
      <c r="L41" s="56">
        <f>HistoricalData!L351</f>
      </c>
      <c r="M41" s="56">
        <f>HistoricalData!M351</f>
      </c>
      <c r="N41" s="56">
        <f>HistoricalData!N351</f>
      </c>
      <c r="O41" s="56">
        <f>HistoricalData!O351</f>
      </c>
      <c r="P41" s="56">
        <f>HistoricalData!P351</f>
      </c>
      <c r="Q41" s="56">
        <f>HistoricalData!Q351</f>
      </c>
      <c r="R41" s="56">
        <f>HistoricalData!R351</f>
      </c>
      <c r="S41" s="56">
        <f>HistoricalData!S351</f>
      </c>
      <c r="T41" s="56">
        <f>HistoricalData!T351</f>
      </c>
      <c r="U41" s="56">
        <f>HistoricalData!U351</f>
      </c>
      <c r="Y41" s="40">
        <f>$U$43*Y40</f>
      </c>
      <c r="Z41" s="40">
        <f t="shared" ref="Z41:AH41" si="4">$U$43*Z40</f>
      </c>
      <c r="AA41" s="40">
        <f t="shared" si="4"/>
      </c>
      <c r="AB41" s="40">
        <f t="shared" si="4"/>
      </c>
      <c r="AC41" s="40">
        <f t="shared" si="4"/>
      </c>
      <c r="AD41" s="40">
        <f t="shared" si="4"/>
      </c>
      <c r="AE41" s="40">
        <f t="shared" si="4"/>
      </c>
      <c r="AF41" s="40">
        <f t="shared" si="4"/>
      </c>
      <c r="AG41" s="40">
        <f t="shared" si="4"/>
      </c>
      <c r="AH41" s="40">
        <f t="shared" si="4"/>
      </c>
    </row>
    <row r="42" spans="3:34" x14ac:dyDescent="0.3">
      <c r="C42" s="2" t="s">
        <v>241</v>
      </c>
      <c r="H42" s="77" t="str">
        <f>$H$10</f>
      </c>
      <c r="J42" s="56">
        <f t="shared" ref="J42:T42" si="5">IFERROR(J41*J39, 0)</f>
      </c>
      <c r="K42" s="56">
        <f t="shared" si="5"/>
      </c>
      <c r="L42" s="56">
        <f t="shared" si="5"/>
      </c>
      <c r="M42" s="56">
        <f t="shared" si="5"/>
      </c>
      <c r="N42" s="56">
        <f t="shared" si="5"/>
      </c>
      <c r="O42" s="56">
        <f t="shared" si="5"/>
      </c>
      <c r="P42" s="56">
        <f t="shared" si="5"/>
      </c>
      <c r="Q42" s="56">
        <f t="shared" si="5"/>
      </c>
      <c r="R42" s="56">
        <f t="shared" si="5"/>
      </c>
      <c r="S42" s="56">
        <f t="shared" si="5"/>
      </c>
      <c r="T42" s="56">
        <f t="shared" si="5"/>
      </c>
      <c r="U42" s="56">
        <f>IFERROR(U41*U39, 0)</f>
      </c>
      <c r="Y42" s="40">
        <f>IFERROR(Y41*Y39, 0)</f>
      </c>
      <c r="Z42" s="40">
        <f t="shared" ref="Z42:AH42" si="6">IFERROR(Z41*Z39, 0)</f>
      </c>
      <c r="AA42" s="40">
        <f t="shared" si="6"/>
      </c>
      <c r="AB42" s="40">
        <f t="shared" si="6"/>
      </c>
      <c r="AC42" s="40">
        <f t="shared" si="6"/>
      </c>
      <c r="AD42" s="40">
        <f t="shared" si="6"/>
      </c>
      <c r="AE42" s="40">
        <f t="shared" si="6"/>
      </c>
      <c r="AF42" s="40">
        <f t="shared" si="6"/>
      </c>
      <c r="AG42" s="40">
        <f t="shared" si="6"/>
      </c>
      <c r="AH42" s="40">
        <f t="shared" si="6"/>
      </c>
    </row>
    <row r="43" spans="3:34" x14ac:dyDescent="0.3">
      <c r="C43" s="2" t="s">
        <v>242</v>
      </c>
      <c r="J43" s="71">
        <f>IFERROR(J41/J40, 0)</f>
      </c>
      <c r="K43" s="71">
        <f t="shared" ref="K43:U43" si="7">IFERROR(K41/K40, 0)</f>
      </c>
      <c r="L43" s="71">
        <f t="shared" si="7"/>
      </c>
      <c r="M43" s="71">
        <f t="shared" si="7"/>
      </c>
      <c r="N43" s="71">
        <f t="shared" si="7"/>
      </c>
      <c r="O43" s="71">
        <f t="shared" si="7"/>
      </c>
      <c r="P43" s="71">
        <f t="shared" si="7"/>
      </c>
      <c r="Q43" s="71">
        <f t="shared" si="7"/>
      </c>
      <c r="R43" s="71">
        <f t="shared" si="7"/>
      </c>
      <c r="S43" s="71">
        <f t="shared" si="7"/>
      </c>
      <c r="T43" s="71">
        <f t="shared" si="7"/>
      </c>
      <c r="U43" s="71">
        <f t="shared" si="7"/>
      </c>
      <c r="Y43" s="71">
        <f t="shared" ref="Y43:AH43" si="8">IFERROR(Y41/Y40, 0)</f>
      </c>
      <c r="Z43" s="71">
        <f t="shared" si="8"/>
      </c>
      <c r="AA43" s="71">
        <f t="shared" si="8"/>
      </c>
      <c r="AB43" s="71">
        <f t="shared" si="8"/>
      </c>
      <c r="AC43" s="71">
        <f t="shared" si="8"/>
      </c>
      <c r="AD43" s="71">
        <f t="shared" si="8"/>
      </c>
      <c r="AE43" s="71">
        <f t="shared" si="8"/>
      </c>
      <c r="AF43" s="71">
        <f t="shared" si="8"/>
      </c>
      <c r="AG43" s="71">
        <f t="shared" si="8"/>
      </c>
      <c r="AH43" s="71">
        <f t="shared" si="8"/>
      </c>
    </row>
    <row r="44" spans="3:34" x14ac:dyDescent="0.3">
      <c r="C44" s="2" t="s">
        <v>357</v>
      </c>
      <c r="H44" s="77" t="str">
        <f>$H$10</f>
      </c>
      <c r="J44" s="56">
        <f>HistoricalData!J522</f>
      </c>
      <c r="K44" s="56">
        <f>HistoricalData!K522</f>
      </c>
      <c r="L44" s="56">
        <f>HistoricalData!L522</f>
      </c>
      <c r="M44" s="56">
        <f>HistoricalData!M522</f>
      </c>
      <c r="N44" s="56">
        <f>HistoricalData!N522</f>
      </c>
      <c r="O44" s="56">
        <f>HistoricalData!O522</f>
      </c>
      <c r="P44" s="56">
        <f>HistoricalData!P522</f>
      </c>
      <c r="Q44" s="56">
        <f>HistoricalData!Q522</f>
      </c>
      <c r="R44" s="56">
        <f>HistoricalData!R522</f>
      </c>
      <c r="S44" s="56">
        <f>HistoricalData!S522</f>
      </c>
      <c r="T44" s="56">
        <f>HistoricalData!T522</f>
      </c>
      <c r="U44" s="56">
        <f>HistoricalData!U522</f>
      </c>
    </row>
    <row r="45" spans="3:34" x14ac:dyDescent="0.3">
      <c r="C45" s="2" t="s">
        <v>575</v>
      </c>
      <c r="J45" s="71">
        <f>IFERROR(J42/J44, 0)</f>
      </c>
      <c r="K45" s="71">
        <f t="shared" ref="K45:T45" si="9">IFERROR(K42/K44, 0)</f>
      </c>
      <c r="L45" s="71">
        <f t="shared" si="9"/>
      </c>
      <c r="M45" s="71">
        <f t="shared" si="9"/>
      </c>
      <c r="N45" s="71">
        <f t="shared" si="9"/>
      </c>
      <c r="O45" s="71">
        <f t="shared" si="9"/>
      </c>
      <c r="P45" s="71">
        <f t="shared" si="9"/>
      </c>
      <c r="Q45" s="71">
        <f t="shared" si="9"/>
      </c>
      <c r="R45" s="71">
        <f t="shared" si="9"/>
      </c>
      <c r="S45" s="71">
        <f t="shared" si="9"/>
      </c>
      <c r="T45" s="71">
        <f t="shared" si="9"/>
      </c>
      <c r="U45" s="71">
        <f>IFERROR(U42/U44, 0)</f>
      </c>
    </row>
    <row r="46" spans="3:34" x14ac:dyDescent="0.3">
      <c r="C46" s="2" t="s">
        <v>112</v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9" spans="2:34" x14ac:dyDescent="0.3">
      <c r="U49" s="227" t="str">
        <f>$U$2</f>
      </c>
    </row>
    <row r="50" spans="2:34" ht="18" x14ac:dyDescent="0.35">
      <c r="B50" s="148" t="str">
        <f>'Assumptions&amp;Scenario'!$K$10</f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</row>
    <row r="51" spans="2:34" ht="18" thickBot="1" x14ac:dyDescent="0.35">
      <c r="B51" s="47" t="s">
        <v>563</v>
      </c>
      <c r="C51" s="48"/>
      <c r="D51" s="48"/>
      <c r="E51" s="48"/>
      <c r="F51" s="48"/>
      <c r="G51" s="48"/>
      <c r="H51" s="49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Y51" s="47" t="s">
        <v>564</v>
      </c>
      <c r="Z51" s="48"/>
      <c r="AA51" s="48"/>
      <c r="AB51" s="48"/>
      <c r="AC51" s="48"/>
      <c r="AD51" s="48"/>
      <c r="AE51" s="48"/>
      <c r="AF51" s="48"/>
      <c r="AG51" s="48"/>
      <c r="AH51" s="48"/>
    </row>
    <row r="52" spans="2:34" x14ac:dyDescent="0.3">
      <c r="C52" s="2"/>
      <c r="D52" s="2"/>
      <c r="E52" s="2"/>
      <c r="F52" s="2"/>
      <c r="L52" s="83"/>
      <c r="M52" s="83"/>
      <c r="N52" s="83"/>
      <c r="O52" s="83"/>
      <c r="P52" s="83"/>
      <c r="Q52" s="83"/>
      <c r="R52" s="83"/>
      <c r="S52" s="83"/>
      <c r="T52" s="83"/>
      <c r="U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</row>
    <row r="53" spans="2:34" ht="15.6" x14ac:dyDescent="0.3">
      <c r="C53" s="43" t="s">
        <v>389</v>
      </c>
      <c r="D53" s="43"/>
      <c r="E53" s="43"/>
      <c r="F53" s="43"/>
      <c r="G53" s="43"/>
      <c r="H53" s="44"/>
      <c r="I53" s="44"/>
      <c r="J53" s="44" t="str">
        <f>"FY"&amp;TEXT(RIGHT(K53,2)-(COLUMN(K53)-COLUMN()),"00")</f>
      </c>
      <c r="K53" s="44" t="str">
        <f t="shared" ref="K53" si="10">"FY"&amp;TEXT(RIGHT(L53,2)-(COLUMN(L53)-COLUMN()),"00")</f>
      </c>
      <c r="L53" s="79" t="str">
        <f t="shared" ref="L53" si="11">"FY"&amp;TEXT(RIGHT(M53,2)-(COLUMN(M53)-COLUMN()),"00")</f>
      </c>
      <c r="M53" s="79" t="str">
        <f t="shared" ref="M53" si="12">"FY"&amp;TEXT(RIGHT(N53,2)-(COLUMN(N53)-COLUMN()),"00")</f>
      </c>
      <c r="N53" s="79" t="str">
        <f t="shared" ref="N53" si="13">"FY"&amp;TEXT(RIGHT(O53,2)-(COLUMN(O53)-COLUMN()),"00")</f>
      </c>
      <c r="O53" s="79" t="str">
        <f t="shared" ref="O53" si="14">"FY"&amp;TEXT(RIGHT(P53,2)-(COLUMN(P53)-COLUMN()),"00")</f>
      </c>
      <c r="P53" s="79" t="str">
        <f t="shared" ref="P53" si="15">"FY"&amp;TEXT(RIGHT(Q53,2)-(COLUMN(Q53)-COLUMN()),"00")</f>
      </c>
      <c r="Q53" s="79" t="str">
        <f t="shared" ref="Q53" si="16">"FY"&amp;TEXT(RIGHT(R53,2)-(COLUMN(R53)-COLUMN()),"00")</f>
      </c>
      <c r="R53" s="79" t="str">
        <f t="shared" ref="R53" si="17">"FY"&amp;TEXT(RIGHT(S53,2)-(COLUMN(S53)-COLUMN()),"00")</f>
      </c>
      <c r="S53" s="79" t="str">
        <f t="shared" ref="S53" si="18">"FY"&amp;TEXT(RIGHT(T53,2)-(COLUMN(T53)-COLUMN()),"00")</f>
      </c>
      <c r="T53" s="79" t="str">
        <f t="shared" ref="T53" si="19">"FY"&amp;TEXT(RIGHT(U53,2)-(COLUMN(U53)-COLUMN()),"00")</f>
      </c>
      <c r="U53" s="79" t="str">
        <f>"FY"&amp;TEXT(DATE(YEAR('Data Sheet'!$K$16)+(MONTH('Data Sheet'!$K$16)&gt;3),1,1),"YY")</f>
      </c>
      <c r="Y53" s="44" t="str">
        <f>Model!$L$6</f>
      </c>
      <c r="Z53" s="44" t="str">
        <f t="shared" ref="Z53" si="20">"FY"&amp;TEXT(RIGHT(Y53,2)+COLUMN()-COLUMN(Y53),"00")</f>
      </c>
      <c r="AA53" s="44" t="str">
        <f t="shared" ref="AA53" si="21">"FY"&amp;TEXT(RIGHT(Z53,2)+COLUMN()-COLUMN(Z53),"00")</f>
      </c>
      <c r="AB53" s="44" t="str">
        <f t="shared" ref="AB53" si="22">"FY"&amp;TEXT(RIGHT(AA53,2)+COLUMN()-COLUMN(AA53),"00")</f>
      </c>
      <c r="AC53" s="44" t="str">
        <f t="shared" ref="AC53" si="23">"FY"&amp;TEXT(RIGHT(AB53,2)+COLUMN()-COLUMN(AB53),"00")</f>
      </c>
      <c r="AD53" s="44" t="str">
        <f t="shared" ref="AD53" si="24">"FY"&amp;TEXT(RIGHT(AC53,2)+COLUMN()-COLUMN(AC53),"00")</f>
      </c>
      <c r="AE53" s="44" t="str">
        <f t="shared" ref="AE53" si="25">"FY"&amp;TEXT(RIGHT(AD53,2)+COLUMN()-COLUMN(AD53),"00")</f>
      </c>
      <c r="AF53" s="44" t="str">
        <f t="shared" ref="AF53" si="26">"FY"&amp;TEXT(RIGHT(AE53,2)+COLUMN()-COLUMN(AE53),"00")</f>
      </c>
      <c r="AG53" s="44" t="str">
        <f t="shared" ref="AG53" si="27">"FY"&amp;TEXT(RIGHT(AF53,2)+COLUMN()-COLUMN(AF53),"00")</f>
      </c>
      <c r="AH53" s="44" t="str">
        <f t="shared" ref="AH53" si="28">"FY"&amp;TEXT(RIGHT(AG53,2)+COLUMN()-COLUMN(AG53),"00")</f>
      </c>
    </row>
    <row r="54" spans="2:34" ht="3" customHeight="1" x14ac:dyDescent="0.3"/>
    <row r="55" spans="2:34" ht="3" customHeight="1" x14ac:dyDescent="0.3"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2:34" ht="3" customHeight="1" x14ac:dyDescent="0.3"/>
    <row r="57" spans="2:34" ht="18" x14ac:dyDescent="0.35">
      <c r="C57" s="24" t="s">
        <v>506</v>
      </c>
      <c r="H57" s="77" t="str">
        <f>$H$10</f>
      </c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Y57" s="90" cm="1">
        <f t="array" ref="Y57">IFERROR(_xlfn.FORECAST.LINEAR(RIGHT(Y$6,2), $J57:$U57, VALUE(RIGHT($J$6:$U$6,2))), 0)</f>
      </c>
      <c r="Z57" s="90" cm="1">
        <f t="array" ref="Z57">IFERROR(_xlfn.FORECAST.LINEAR(RIGHT(Z$6,2), $J57:$U57, VALUE(RIGHT($J$6:$U$6,2))), 0)</f>
      </c>
      <c r="AA57" s="90" cm="1">
        <f t="array" ref="AA57">IFERROR(_xlfn.FORECAST.LINEAR(RIGHT(AA$6,2), $J57:$U57, VALUE(RIGHT($J$6:$U$6,2))), 0)</f>
      </c>
      <c r="AB57" s="90" cm="1">
        <f t="array" ref="AB57">IFERROR(_xlfn.FORECAST.LINEAR(RIGHT(AB$6,2), $J57:$U57, VALUE(RIGHT($J$6:$U$6,2))), 0)</f>
      </c>
      <c r="AC57" s="90" cm="1">
        <f t="array" ref="AC57">IFERROR(_xlfn.FORECAST.LINEAR(RIGHT(AC$6,2), $J57:$U57, VALUE(RIGHT($J$6:$U$6,2))), 0)</f>
      </c>
      <c r="AD57" s="90" cm="1">
        <f t="array" ref="AD57">IFERROR(_xlfn.FORECAST.LINEAR(RIGHT(AD$6,2), $J57:$U57, VALUE(RIGHT($J$6:$U$6,2))), 0)</f>
      </c>
      <c r="AE57" s="90" cm="1">
        <f t="array" ref="AE57">IFERROR(_xlfn.FORECAST.LINEAR(RIGHT(AE$6,2), $J57:$U57, VALUE(RIGHT($J$6:$U$6,2))), 0)</f>
      </c>
      <c r="AF57" s="90" cm="1">
        <f t="array" ref="AF57">IFERROR(_xlfn.FORECAST.LINEAR(RIGHT(AF$6,2), $J57:$U57, VALUE(RIGHT($J$6:$U$6,2))), 0)</f>
      </c>
      <c r="AG57" s="90" cm="1">
        <f t="array" ref="AG57">IFERROR(_xlfn.FORECAST.LINEAR(RIGHT(AG$6,2), $J57:$U57, VALUE(RIGHT($J$6:$U$6,2))), 0)</f>
      </c>
      <c r="AH57" s="90" cm="1">
        <f t="array" ref="AH57">IFERROR(_xlfn.FORECAST.LINEAR(RIGHT(AH$6,2), $J57:$U57, VALUE(RIGHT($J$6:$U$6,2))), 0)</f>
      </c>
    </row>
    <row r="58" spans="2:34" x14ac:dyDescent="0.3">
      <c r="D58" s="78" t="s">
        <v>508</v>
      </c>
      <c r="K58" s="85">
        <f t="shared" ref="K58:U58" si="29">IFERROR(K57/J57-1, 0)</f>
      </c>
      <c r="L58" s="85">
        <f t="shared" si="29"/>
      </c>
      <c r="M58" s="85">
        <f t="shared" si="29"/>
      </c>
      <c r="N58" s="85">
        <f t="shared" si="29"/>
      </c>
      <c r="O58" s="85">
        <f t="shared" si="29"/>
      </c>
      <c r="P58" s="85">
        <f t="shared" si="29"/>
      </c>
      <c r="Q58" s="85">
        <f t="shared" si="29"/>
      </c>
      <c r="R58" s="85">
        <f t="shared" si="29"/>
      </c>
      <c r="S58" s="85">
        <f t="shared" si="29"/>
      </c>
      <c r="T58" s="85">
        <f t="shared" si="29"/>
      </c>
      <c r="U58" s="85">
        <f t="shared" si="29"/>
      </c>
      <c r="Y58" s="85">
        <f>IFERROR(Y57/U57-1, 0)</f>
      </c>
      <c r="Z58" s="85">
        <f t="shared" ref="Z58:AH58" si="30">IFERROR(Z57/Y57-1, 0)</f>
      </c>
      <c r="AA58" s="85">
        <f t="shared" si="30"/>
      </c>
      <c r="AB58" s="85">
        <f t="shared" si="30"/>
      </c>
      <c r="AC58" s="85">
        <f t="shared" si="30"/>
      </c>
      <c r="AD58" s="85">
        <f t="shared" si="30"/>
      </c>
      <c r="AE58" s="85">
        <f t="shared" si="30"/>
      </c>
      <c r="AF58" s="85">
        <f t="shared" si="30"/>
      </c>
      <c r="AG58" s="85">
        <f t="shared" si="30"/>
      </c>
      <c r="AH58" s="85">
        <f t="shared" si="30"/>
      </c>
    </row>
    <row r="59" spans="2:34" ht="18" x14ac:dyDescent="0.35">
      <c r="C59" s="24" t="s">
        <v>507</v>
      </c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Y59" s="90" cm="1">
        <f t="array" ref="Y59">IFERROR(_xlfn.FORECAST.LINEAR(RIGHT(Y$6,2), $J59:$U59, VALUE(RIGHT($J$6:$U$6,2))), 0)</f>
      </c>
      <c r="Z59" s="90" cm="1">
        <f t="array" ref="Z59">IFERROR(_xlfn.FORECAST.LINEAR(RIGHT(Z$6,2), $J59:$U59, VALUE(RIGHT($J$6:$U$6,2))), 0)</f>
      </c>
      <c r="AA59" s="90" cm="1">
        <f t="array" ref="AA59">IFERROR(_xlfn.FORECAST.LINEAR(RIGHT(AA$6,2), $J59:$U59, VALUE(RIGHT($J$6:$U$6,2))), 0)</f>
      </c>
      <c r="AB59" s="90" cm="1">
        <f t="array" ref="AB59">IFERROR(_xlfn.FORECAST.LINEAR(RIGHT(AB$6,2), $J59:$U59, VALUE(RIGHT($J$6:$U$6,2))), 0)</f>
      </c>
      <c r="AC59" s="90" cm="1">
        <f t="array" ref="AC59">IFERROR(_xlfn.FORECAST.LINEAR(RIGHT(AC$6,2), $J59:$U59, VALUE(RIGHT($J$6:$U$6,2))), 0)</f>
      </c>
      <c r="AD59" s="90" cm="1">
        <f t="array" ref="AD59">IFERROR(_xlfn.FORECAST.LINEAR(RIGHT(AD$6,2), $J59:$U59, VALUE(RIGHT($J$6:$U$6,2))), 0)</f>
      </c>
      <c r="AE59" s="90" cm="1">
        <f t="array" ref="AE59">IFERROR(_xlfn.FORECAST.LINEAR(RIGHT(AE$6,2), $J59:$U59, VALUE(RIGHT($J$6:$U$6,2))), 0)</f>
      </c>
      <c r="AF59" s="90" cm="1">
        <f t="array" ref="AF59">IFERROR(_xlfn.FORECAST.LINEAR(RIGHT(AF$6,2), $J59:$U59, VALUE(RIGHT($J$6:$U$6,2))), 0)</f>
      </c>
      <c r="AG59" s="90" cm="1">
        <f t="array" ref="AG59">IFERROR(_xlfn.FORECAST.LINEAR(RIGHT(AG$6,2), $J59:$U59, VALUE(RIGHT($J$6:$U$6,2))), 0)</f>
      </c>
      <c r="AH59" s="90" cm="1">
        <f t="array" ref="AH59">IFERROR(_xlfn.FORECAST.LINEAR(RIGHT(AH$6,2), $J59:$U59, VALUE(RIGHT($J$6:$U$6,2))), 0)</f>
      </c>
    </row>
    <row r="60" spans="2:34" x14ac:dyDescent="0.3">
      <c r="D60" s="78" t="s">
        <v>509</v>
      </c>
      <c r="K60" s="85">
        <f t="shared" ref="K60" si="31">IFERROR(K59/J59-1, 0)</f>
      </c>
      <c r="L60" s="85">
        <f t="shared" ref="L60" si="32">IFERROR(L59/K59-1, 0)</f>
      </c>
      <c r="M60" s="85">
        <f t="shared" ref="M60" si="33">IFERROR(M59/L59-1, 0)</f>
      </c>
      <c r="N60" s="85">
        <f t="shared" ref="N60" si="34">IFERROR(N59/M59-1, 0)</f>
      </c>
      <c r="O60" s="85">
        <f t="shared" ref="O60" si="35">IFERROR(O59/N59-1, 0)</f>
      </c>
      <c r="P60" s="85">
        <f t="shared" ref="P60" si="36">IFERROR(P59/O59-1, 0)</f>
      </c>
      <c r="Q60" s="85">
        <f t="shared" ref="Q60" si="37">IFERROR(Q59/P59-1, 0)</f>
      </c>
      <c r="R60" s="85">
        <f t="shared" ref="R60" si="38">IFERROR(R59/Q59-1, 0)</f>
      </c>
      <c r="S60" s="85">
        <f t="shared" ref="S60" si="39">IFERROR(S59/R59-1, 0)</f>
      </c>
      <c r="T60" s="85">
        <f t="shared" ref="T60" si="40">IFERROR(T59/S59-1, 0)</f>
      </c>
      <c r="U60" s="85">
        <f t="shared" ref="U60" si="41">IFERROR(U59/T59-1, 0)</f>
      </c>
      <c r="Y60" s="85">
        <f>IFERROR(Y59/U59-1, 0)</f>
      </c>
      <c r="Z60" s="85">
        <f t="shared" ref="Z60" si="42">IFERROR(Z59/Y59-1, 0)</f>
      </c>
      <c r="AA60" s="85">
        <f t="shared" ref="AA60" si="43">IFERROR(AA59/Z59-1, 0)</f>
      </c>
      <c r="AB60" s="85">
        <f t="shared" ref="AB60" si="44">IFERROR(AB59/AA59-1, 0)</f>
      </c>
      <c r="AC60" s="85">
        <f t="shared" ref="AC60" si="45">IFERROR(AC59/AB59-1, 0)</f>
      </c>
      <c r="AD60" s="85">
        <f t="shared" ref="AD60" si="46">IFERROR(AD59/AC59-1, 0)</f>
      </c>
      <c r="AE60" s="85">
        <f t="shared" ref="AE60" si="47">IFERROR(AE59/AD59-1, 0)</f>
      </c>
      <c r="AF60" s="85">
        <f t="shared" ref="AF60" si="48">IFERROR(AF59/AE59-1, 0)</f>
      </c>
      <c r="AG60" s="85">
        <f t="shared" ref="AG60" si="49">IFERROR(AG59/AF59-1, 0)</f>
      </c>
      <c r="AH60" s="85">
        <f t="shared" ref="AH60" si="50">IFERROR(AH59/AG59-1, 0)</f>
      </c>
    </row>
    <row r="61" spans="2:34" x14ac:dyDescent="0.3">
      <c r="D61" t="s">
        <v>527</v>
      </c>
      <c r="J61" s="85">
        <f t="shared" ref="J61:U61" si="51">IFERROR(J12/J59, 0)</f>
      </c>
      <c r="K61" s="85">
        <f t="shared" si="51"/>
      </c>
      <c r="L61" s="85">
        <f t="shared" si="51"/>
      </c>
      <c r="M61" s="85">
        <f t="shared" si="51"/>
      </c>
      <c r="N61" s="85">
        <f t="shared" si="51"/>
      </c>
      <c r="O61" s="85">
        <f t="shared" si="51"/>
      </c>
      <c r="P61" s="85">
        <f t="shared" si="51"/>
      </c>
      <c r="Q61" s="85">
        <f t="shared" si="51"/>
      </c>
      <c r="R61" s="85">
        <f t="shared" si="51"/>
      </c>
      <c r="S61" s="85">
        <f t="shared" si="51"/>
      </c>
      <c r="T61" s="85">
        <f t="shared" si="51"/>
      </c>
      <c r="U61" s="85">
        <f t="shared" si="51"/>
      </c>
      <c r="Y61" s="85"/>
      <c r="Z61" s="85"/>
      <c r="AA61" s="85"/>
      <c r="AB61" s="85"/>
      <c r="AC61" s="85"/>
      <c r="AD61" s="85"/>
      <c r="AE61" s="85"/>
      <c r="AF61" s="85"/>
      <c r="AG61" s="85"/>
      <c r="AH61" s="85"/>
    </row>
    <row r="62" spans="2:34" x14ac:dyDescent="0.3">
      <c r="C62" s="2" t="s">
        <v>526</v>
      </c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Y62" s="71" cm="1">
        <f t="array" ref="Y62">IFERROR(_xlfn.FORECAST.LINEAR(RIGHT(Y$6,2), $J62:$U62, VALUE(RIGHT($J$6:$U$6,2))), 0)</f>
      </c>
      <c r="Z62" s="71" cm="1">
        <f t="array" ref="Z62">IFERROR(_xlfn.FORECAST.LINEAR(RIGHT(Z$6,2), $J62:$U62, VALUE(RIGHT($J$6:$U$6,2))), 0)</f>
      </c>
      <c r="AA62" s="71" cm="1">
        <f t="array" ref="AA62">IFERROR(_xlfn.FORECAST.LINEAR(RIGHT(AA$6,2), $J62:$U62, VALUE(RIGHT($J$6:$U$6,2))), 0)</f>
      </c>
      <c r="AB62" s="71" cm="1">
        <f t="array" ref="AB62">IFERROR(_xlfn.FORECAST.LINEAR(RIGHT(AB$6,2), $J62:$U62, VALUE(RIGHT($J$6:$U$6,2))), 0)</f>
      </c>
      <c r="AC62" s="71" cm="1">
        <f t="array" ref="AC62">IFERROR(_xlfn.FORECAST.LINEAR(RIGHT(AC$6,2), $J62:$U62, VALUE(RIGHT($J$6:$U$6,2))), 0)</f>
      </c>
      <c r="AD62" s="71" cm="1">
        <f t="array" ref="AD62">IFERROR(_xlfn.FORECAST.LINEAR(RIGHT(AD$6,2), $J62:$U62, VALUE(RIGHT($J$6:$U$6,2))), 0)</f>
      </c>
      <c r="AE62" s="71" cm="1">
        <f t="array" ref="AE62">IFERROR(_xlfn.FORECAST.LINEAR(RIGHT(AE$6,2), $J62:$U62, VALUE(RIGHT($J$6:$U$6,2))), 0)</f>
      </c>
      <c r="AF62" s="71" cm="1">
        <f t="array" ref="AF62">IFERROR(_xlfn.FORECAST.LINEAR(RIGHT(AF$6,2), $J62:$U62, VALUE(RIGHT($J$6:$U$6,2))), 0)</f>
      </c>
      <c r="AG62" s="71" cm="1">
        <f t="array" ref="AG62">IFERROR(_xlfn.FORECAST.LINEAR(RIGHT(AG$6,2), $J62:$U62, VALUE(RIGHT($J$6:$U$6,2))), 0)</f>
      </c>
      <c r="AH62" s="71" cm="1">
        <f t="array" ref="AH62">IFERROR(_xlfn.FORECAST.LINEAR(RIGHT(AH$6,2), $J62:$U62, VALUE(RIGHT($J$6:$U$6,2))), 0)</f>
      </c>
    </row>
    <row r="63" spans="2:34" ht="3" customHeight="1" x14ac:dyDescent="0.3"/>
    <row r="64" spans="2:34" x14ac:dyDescent="0.3">
      <c r="C64" t="s">
        <v>533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Y64" s="71" cm="1">
        <f t="array" ref="Y64">IFERROR(_xlfn.FORECAST.LINEAR(RIGHT(Y$6,2), $J64:$U64, VALUE(RIGHT($J$6:$U$6,2))), 0)</f>
      </c>
      <c r="Z64" s="71" cm="1">
        <f t="array" ref="Z64">IFERROR(_xlfn.FORECAST.LINEAR(RIGHT(Z$6,2), $J64:$U64, VALUE(RIGHT($J$6:$U$6,2))), 0)</f>
      </c>
      <c r="AA64" s="71" cm="1">
        <f t="array" ref="AA64">IFERROR(_xlfn.FORECAST.LINEAR(RIGHT(AA$6,2), $J64:$U64, VALUE(RIGHT($J$6:$U$6,2))), 0)</f>
      </c>
      <c r="AB64" s="71" cm="1">
        <f t="array" ref="AB64">IFERROR(_xlfn.FORECAST.LINEAR(RIGHT(AB$6,2), $J64:$U64, VALUE(RIGHT($J$6:$U$6,2))), 0)</f>
      </c>
      <c r="AC64" s="71" cm="1">
        <f t="array" ref="AC64">IFERROR(_xlfn.FORECAST.LINEAR(RIGHT(AC$6,2), $J64:$U64, VALUE(RIGHT($J$6:$U$6,2))), 0)</f>
      </c>
      <c r="AD64" s="71" cm="1">
        <f t="array" ref="AD64">IFERROR(_xlfn.FORECAST.LINEAR(RIGHT(AD$6,2), $J64:$U64, VALUE(RIGHT($J$6:$U$6,2))), 0)</f>
      </c>
      <c r="AE64" s="71" cm="1">
        <f t="array" ref="AE64">IFERROR(_xlfn.FORECAST.LINEAR(RIGHT(AE$6,2), $J64:$U64, VALUE(RIGHT($J$6:$U$6,2))), 0)</f>
      </c>
      <c r="AF64" s="71" cm="1">
        <f t="array" ref="AF64">IFERROR(_xlfn.FORECAST.LINEAR(RIGHT(AF$6,2), $J64:$U64, VALUE(RIGHT($J$6:$U$6,2))), 0)</f>
      </c>
      <c r="AG64" s="71" cm="1">
        <f t="array" ref="AG64">IFERROR(_xlfn.FORECAST.LINEAR(RIGHT(AG$6,2), $J64:$U64, VALUE(RIGHT($J$6:$U$6,2))), 0)</f>
      </c>
      <c r="AH64" s="71" cm="1">
        <f t="array" ref="AH64">IFERROR(_xlfn.FORECAST.LINEAR(RIGHT(AH$6,2), $J64:$U64, VALUE(RIGHT($J$6:$U$6,2))), 0)</f>
      </c>
    </row>
    <row r="65" spans="3:34" x14ac:dyDescent="0.3">
      <c r="C65" t="s">
        <v>532</v>
      </c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Y65" s="58"/>
      <c r="Z65" s="58"/>
      <c r="AA65" s="58"/>
      <c r="AB65" s="58"/>
      <c r="AC65" s="58"/>
      <c r="AD65" s="58"/>
      <c r="AE65" s="58"/>
      <c r="AF65" s="58"/>
      <c r="AG65" s="58"/>
      <c r="AH65" s="58"/>
    </row>
    <row r="66" spans="3:34" x14ac:dyDescent="0.3">
      <c r="C66" t="s">
        <v>528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Y66" s="71" cm="1">
        <f t="array" ref="Y66">IFERROR(_xlfn.FORECAST.LINEAR(RIGHT(Y$6,2), $J66:$U66, VALUE(RIGHT($J$6:$U$6,2))), 0)</f>
      </c>
      <c r="Z66" s="71" cm="1">
        <f t="array" ref="Z66">IFERROR(_xlfn.FORECAST.LINEAR(RIGHT(Z$6,2), $J66:$U66, VALUE(RIGHT($J$6:$U$6,2))), 0)</f>
      </c>
      <c r="AA66" s="71" cm="1">
        <f t="array" ref="AA66">IFERROR(_xlfn.FORECAST.LINEAR(RIGHT(AA$6,2), $J66:$U66, VALUE(RIGHT($J$6:$U$6,2))), 0)</f>
      </c>
      <c r="AB66" s="71" cm="1">
        <f t="array" ref="AB66">IFERROR(_xlfn.FORECAST.LINEAR(RIGHT(AB$6,2), $J66:$U66, VALUE(RIGHT($J$6:$U$6,2))), 0)</f>
      </c>
      <c r="AC66" s="71" cm="1">
        <f t="array" ref="AC66">IFERROR(_xlfn.FORECAST.LINEAR(RIGHT(AC$6,2), $J66:$U66, VALUE(RIGHT($J$6:$U$6,2))), 0)</f>
      </c>
      <c r="AD66" s="71" cm="1">
        <f t="array" ref="AD66">IFERROR(_xlfn.FORECAST.LINEAR(RIGHT(AD$6,2), $J66:$U66, VALUE(RIGHT($J$6:$U$6,2))), 0)</f>
      </c>
      <c r="AE66" s="71" cm="1">
        <f t="array" ref="AE66">IFERROR(_xlfn.FORECAST.LINEAR(RIGHT(AE$6,2), $J66:$U66, VALUE(RIGHT($J$6:$U$6,2))), 0)</f>
      </c>
      <c r="AF66" s="71" cm="1">
        <f t="array" ref="AF66">IFERROR(_xlfn.FORECAST.LINEAR(RIGHT(AF$6,2), $J66:$U66, VALUE(RIGHT($J$6:$U$6,2))), 0)</f>
      </c>
      <c r="AG66" s="71" cm="1">
        <f t="array" ref="AG66">IFERROR(_xlfn.FORECAST.LINEAR(RIGHT(AG$6,2), $J66:$U66, VALUE(RIGHT($J$6:$U$6,2))), 0)</f>
      </c>
      <c r="AH66" s="71" cm="1">
        <f t="array" ref="AH66">IFERROR(_xlfn.FORECAST.LINEAR(RIGHT(AH$6,2), $J66:$U66, VALUE(RIGHT($J$6:$U$6,2))), 0)</f>
      </c>
    </row>
    <row r="67" spans="3:34" x14ac:dyDescent="0.3">
      <c r="C67" t="s">
        <v>529</v>
      </c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Y67" s="71" cm="1">
        <f t="array" ref="Y67">IFERROR(_xlfn.FORECAST.LINEAR(RIGHT(Y$6,2), $J67:$U67, VALUE(RIGHT($J$6:$U$6,2))), 0)</f>
      </c>
      <c r="Z67" s="71" cm="1">
        <f t="array" ref="Z67">IFERROR(_xlfn.FORECAST.LINEAR(RIGHT(Z$6,2), $J67:$U67, VALUE(RIGHT($J$6:$U$6,2))), 0)</f>
      </c>
      <c r="AA67" s="71" cm="1">
        <f t="array" ref="AA67">IFERROR(_xlfn.FORECAST.LINEAR(RIGHT(AA$6,2), $J67:$U67, VALUE(RIGHT($J$6:$U$6,2))), 0)</f>
      </c>
      <c r="AB67" s="71" cm="1">
        <f t="array" ref="AB67">IFERROR(_xlfn.FORECAST.LINEAR(RIGHT(AB$6,2), $J67:$U67, VALUE(RIGHT($J$6:$U$6,2))), 0)</f>
      </c>
      <c r="AC67" s="71" cm="1">
        <f t="array" ref="AC67">IFERROR(_xlfn.FORECAST.LINEAR(RIGHT(AC$6,2), $J67:$U67, VALUE(RIGHT($J$6:$U$6,2))), 0)</f>
      </c>
      <c r="AD67" s="71" cm="1">
        <f t="array" ref="AD67">IFERROR(_xlfn.FORECAST.LINEAR(RIGHT(AD$6,2), $J67:$U67, VALUE(RIGHT($J$6:$U$6,2))), 0)</f>
      </c>
      <c r="AE67" s="71" cm="1">
        <f t="array" ref="AE67">IFERROR(_xlfn.FORECAST.LINEAR(RIGHT(AE$6,2), $J67:$U67, VALUE(RIGHT($J$6:$U$6,2))), 0)</f>
      </c>
      <c r="AF67" s="71" cm="1">
        <f t="array" ref="AF67">IFERROR(_xlfn.FORECAST.LINEAR(RIGHT(AF$6,2), $J67:$U67, VALUE(RIGHT($J$6:$U$6,2))), 0)</f>
      </c>
      <c r="AG67" s="71" cm="1">
        <f t="array" ref="AG67">IFERROR(_xlfn.FORECAST.LINEAR(RIGHT(AG$6,2), $J67:$U67, VALUE(RIGHT($J$6:$U$6,2))), 0)</f>
      </c>
      <c r="AH67" s="71" cm="1">
        <f t="array" ref="AH67">IFERROR(_xlfn.FORECAST.LINEAR(RIGHT(AH$6,2), $J67:$U67, VALUE(RIGHT($J$6:$U$6,2))), 0)</f>
      </c>
    </row>
    <row r="68" spans="3:34" x14ac:dyDescent="0.3">
      <c r="C68" t="s">
        <v>530</v>
      </c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Y68" s="58"/>
      <c r="Z68" s="58"/>
      <c r="AA68" s="58"/>
      <c r="AB68" s="58"/>
      <c r="AC68" s="58"/>
      <c r="AD68" s="58"/>
      <c r="AE68" s="58"/>
      <c r="AF68" s="58"/>
      <c r="AG68" s="58"/>
      <c r="AH68" s="58"/>
    </row>
    <row r="69" spans="3:34" x14ac:dyDescent="0.3">
      <c r="C69" t="s">
        <v>531</v>
      </c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Y69" s="58"/>
      <c r="Z69" s="58"/>
      <c r="AA69" s="58"/>
      <c r="AB69" s="58"/>
      <c r="AC69" s="58"/>
      <c r="AD69" s="58"/>
      <c r="AE69" s="58"/>
      <c r="AF69" s="58"/>
      <c r="AG69" s="58"/>
      <c r="AH69" s="58"/>
    </row>
    <row r="70" spans="3:34" ht="3" customHeight="1" x14ac:dyDescent="0.3"/>
    <row r="71" spans="3:34" x14ac:dyDescent="0.3">
      <c r="C71" t="s">
        <v>534</v>
      </c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Y71" s="58"/>
      <c r="Z71" s="58"/>
      <c r="AA71" s="58"/>
      <c r="AB71" s="58"/>
      <c r="AC71" s="58"/>
      <c r="AD71" s="58"/>
      <c r="AE71" s="58"/>
      <c r="AF71" s="58"/>
      <c r="AG71" s="58"/>
      <c r="AH71" s="58"/>
    </row>
    <row r="72" spans="3:34" x14ac:dyDescent="0.3">
      <c r="C72" t="s">
        <v>535</v>
      </c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Y72" s="58"/>
      <c r="Z72" s="58"/>
      <c r="AA72" s="58"/>
      <c r="AB72" s="58"/>
      <c r="AC72" s="58"/>
      <c r="AD72" s="58"/>
      <c r="AE72" s="58"/>
      <c r="AF72" s="58"/>
      <c r="AG72" s="58"/>
      <c r="AH72" s="58"/>
    </row>
    <row r="73" spans="3:34" x14ac:dyDescent="0.3">
      <c r="C73" t="s">
        <v>536</v>
      </c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Y73" s="58"/>
      <c r="Z73" s="58"/>
      <c r="AA73" s="58"/>
      <c r="AB73" s="58"/>
      <c r="AC73" s="58"/>
      <c r="AD73" s="58"/>
      <c r="AE73" s="58"/>
      <c r="AF73" s="58"/>
      <c r="AG73" s="58"/>
      <c r="AH73" s="58"/>
    </row>
    <row r="74" spans="3:34" x14ac:dyDescent="0.3">
      <c r="C74" t="s">
        <v>541</v>
      </c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Y74" s="58"/>
      <c r="Z74" s="58"/>
      <c r="AA74" s="58"/>
      <c r="AB74" s="58"/>
      <c r="AC74" s="58"/>
      <c r="AD74" s="58"/>
      <c r="AE74" s="58"/>
      <c r="AF74" s="58"/>
      <c r="AG74" s="58"/>
      <c r="AH74" s="58"/>
    </row>
    <row r="75" spans="3:34" ht="3" customHeight="1" x14ac:dyDescent="0.3"/>
    <row r="76" spans="3:34" x14ac:dyDescent="0.3">
      <c r="C76" t="s">
        <v>537</v>
      </c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Y76" s="58"/>
      <c r="Z76" s="58"/>
      <c r="AA76" s="58"/>
      <c r="AB76" s="58"/>
      <c r="AC76" s="58"/>
      <c r="AD76" s="58"/>
      <c r="AE76" s="58"/>
      <c r="AF76" s="58"/>
      <c r="AG76" s="58"/>
      <c r="AH76" s="58"/>
    </row>
    <row r="77" spans="3:34" x14ac:dyDescent="0.3">
      <c r="C77" t="s">
        <v>114</v>
      </c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Y77" s="58"/>
      <c r="Z77" s="58"/>
      <c r="AA77" s="58"/>
      <c r="AB77" s="58"/>
      <c r="AC77" s="58"/>
      <c r="AD77" s="58"/>
      <c r="AE77" s="58"/>
      <c r="AF77" s="58"/>
      <c r="AG77" s="58"/>
      <c r="AH77" s="58"/>
    </row>
    <row r="78" spans="3:34" ht="3" customHeight="1" x14ac:dyDescent="0.3"/>
    <row r="79" spans="3:34" x14ac:dyDescent="0.3">
      <c r="C79" t="s">
        <v>538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Y79" s="71" cm="1">
        <f t="array" ref="Y79">IFERROR(_xlfn.FORECAST.LINEAR(RIGHT(Y$6,2), $J79:$U79, VALUE(RIGHT($J$6:$U$6,2))), 0)</f>
      </c>
      <c r="Z79" s="71" cm="1">
        <f t="array" ref="Z79">IFERROR(_xlfn.FORECAST.LINEAR(RIGHT(Z$6,2), $J79:$U79, VALUE(RIGHT($J$6:$U$6,2))), 0)</f>
      </c>
      <c r="AA79" s="71" cm="1">
        <f t="array" ref="AA79">IFERROR(_xlfn.FORECAST.LINEAR(RIGHT(AA$6,2), $J79:$U79, VALUE(RIGHT($J$6:$U$6,2))), 0)</f>
      </c>
      <c r="AB79" s="71" cm="1">
        <f t="array" ref="AB79">IFERROR(_xlfn.FORECAST.LINEAR(RIGHT(AB$6,2), $J79:$U79, VALUE(RIGHT($J$6:$U$6,2))), 0)</f>
      </c>
      <c r="AC79" s="71" cm="1">
        <f t="array" ref="AC79">IFERROR(_xlfn.FORECAST.LINEAR(RIGHT(AC$6,2), $J79:$U79, VALUE(RIGHT($J$6:$U$6,2))), 0)</f>
      </c>
      <c r="AD79" s="71" cm="1">
        <f t="array" ref="AD79">IFERROR(_xlfn.FORECAST.LINEAR(RIGHT(AD$6,2), $J79:$U79, VALUE(RIGHT($J$6:$U$6,2))), 0)</f>
      </c>
      <c r="AE79" s="71" cm="1">
        <f t="array" ref="AE79">IFERROR(_xlfn.FORECAST.LINEAR(RIGHT(AE$6,2), $J79:$U79, VALUE(RIGHT($J$6:$U$6,2))), 0)</f>
      </c>
      <c r="AF79" s="71" cm="1">
        <f t="array" ref="AF79">IFERROR(_xlfn.FORECAST.LINEAR(RIGHT(AF$6,2), $J79:$U79, VALUE(RIGHT($J$6:$U$6,2))), 0)</f>
      </c>
      <c r="AG79" s="71" cm="1">
        <f t="array" ref="AG79">IFERROR(_xlfn.FORECAST.LINEAR(RIGHT(AG$6,2), $J79:$U79, VALUE(RIGHT($J$6:$U$6,2))), 0)</f>
      </c>
      <c r="AH79" s="71" cm="1">
        <f t="array" ref="AH79">IFERROR(_xlfn.FORECAST.LINEAR(RIGHT(AH$6,2), $J79:$U79, VALUE(RIGHT($J$6:$U$6,2))), 0)</f>
      </c>
    </row>
    <row r="80" spans="3:34" x14ac:dyDescent="0.3">
      <c r="C80" t="s">
        <v>539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Y80" s="71" cm="1">
        <f t="array" ref="Y80">IFERROR(_xlfn.FORECAST.LINEAR(RIGHT(Y$6,2), $J80:$U80, VALUE(RIGHT($J$6:$U$6,2))), 0)</f>
      </c>
      <c r="Z80" s="71" cm="1">
        <f t="array" ref="Z80">IFERROR(_xlfn.FORECAST.LINEAR(RIGHT(Z$6,2), $J80:$U80, VALUE(RIGHT($J$6:$U$6,2))), 0)</f>
      </c>
      <c r="AA80" s="71" cm="1">
        <f t="array" ref="AA80">IFERROR(_xlfn.FORECAST.LINEAR(RIGHT(AA$6,2), $J80:$U80, VALUE(RIGHT($J$6:$U$6,2))), 0)</f>
      </c>
      <c r="AB80" s="71" cm="1">
        <f t="array" ref="AB80">IFERROR(_xlfn.FORECAST.LINEAR(RIGHT(AB$6,2), $J80:$U80, VALUE(RIGHT($J$6:$U$6,2))), 0)</f>
      </c>
      <c r="AC80" s="71" cm="1">
        <f t="array" ref="AC80">IFERROR(_xlfn.FORECAST.LINEAR(RIGHT(AC$6,2), $J80:$U80, VALUE(RIGHT($J$6:$U$6,2))), 0)</f>
      </c>
      <c r="AD80" s="71" cm="1">
        <f t="array" ref="AD80">IFERROR(_xlfn.FORECAST.LINEAR(RIGHT(AD$6,2), $J80:$U80, VALUE(RIGHT($J$6:$U$6,2))), 0)</f>
      </c>
      <c r="AE80" s="71" cm="1">
        <f t="array" ref="AE80">IFERROR(_xlfn.FORECAST.LINEAR(RIGHT(AE$6,2), $J80:$U80, VALUE(RIGHT($J$6:$U$6,2))), 0)</f>
      </c>
      <c r="AF80" s="71" cm="1">
        <f t="array" ref="AF80">IFERROR(_xlfn.FORECAST.LINEAR(RIGHT(AF$6,2), $J80:$U80, VALUE(RIGHT($J$6:$U$6,2))), 0)</f>
      </c>
      <c r="AG80" s="71" cm="1">
        <f t="array" ref="AG80">IFERROR(_xlfn.FORECAST.LINEAR(RIGHT(AG$6,2), $J80:$U80, VALUE(RIGHT($J$6:$U$6,2))), 0)</f>
      </c>
      <c r="AH80" s="71" cm="1">
        <f t="array" ref="AH80">IFERROR(_xlfn.FORECAST.LINEAR(RIGHT(AH$6,2), $J80:$U80, VALUE(RIGHT($J$6:$U$6,2))), 0)</f>
      </c>
    </row>
    <row r="81" spans="2:34" x14ac:dyDescent="0.3">
      <c r="C81" t="s">
        <v>540</v>
      </c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Y81" s="71" cm="1">
        <f t="array" ref="Y81">IFERROR(_xlfn.FORECAST.LINEAR(RIGHT(Y$6,2), $J81:$U81, VALUE(RIGHT($J$6:$U$6,2))), 0)</f>
      </c>
      <c r="Z81" s="71" cm="1">
        <f t="array" ref="Z81">IFERROR(_xlfn.FORECAST.LINEAR(RIGHT(Z$6,2), $J81:$U81, VALUE(RIGHT($J$6:$U$6,2))), 0)</f>
      </c>
      <c r="AA81" s="71" cm="1">
        <f t="array" ref="AA81">IFERROR(_xlfn.FORECAST.LINEAR(RIGHT(AA$6,2), $J81:$U81, VALUE(RIGHT($J$6:$U$6,2))), 0)</f>
      </c>
      <c r="AB81" s="71" cm="1">
        <f t="array" ref="AB81">IFERROR(_xlfn.FORECAST.LINEAR(RIGHT(AB$6,2), $J81:$U81, VALUE(RIGHT($J$6:$U$6,2))), 0)</f>
      </c>
      <c r="AC81" s="71" cm="1">
        <f t="array" ref="AC81">IFERROR(_xlfn.FORECAST.LINEAR(RIGHT(AC$6,2), $J81:$U81, VALUE(RIGHT($J$6:$U$6,2))), 0)</f>
      </c>
      <c r="AD81" s="71" cm="1">
        <f t="array" ref="AD81">IFERROR(_xlfn.FORECAST.LINEAR(RIGHT(AD$6,2), $J81:$U81, VALUE(RIGHT($J$6:$U$6,2))), 0)</f>
      </c>
      <c r="AE81" s="71" cm="1">
        <f t="array" ref="AE81">IFERROR(_xlfn.FORECAST.LINEAR(RIGHT(AE$6,2), $J81:$U81, VALUE(RIGHT($J$6:$U$6,2))), 0)</f>
      </c>
      <c r="AF81" s="71" cm="1">
        <f t="array" ref="AF81">IFERROR(_xlfn.FORECAST.LINEAR(RIGHT(AF$6,2), $J81:$U81, VALUE(RIGHT($J$6:$U$6,2))), 0)</f>
      </c>
      <c r="AG81" s="71" cm="1">
        <f t="array" ref="AG81">IFERROR(_xlfn.FORECAST.LINEAR(RIGHT(AG$6,2), $J81:$U81, VALUE(RIGHT($J$6:$U$6,2))), 0)</f>
      </c>
      <c r="AH81" s="71" cm="1">
        <f t="array" ref="AH81">IFERROR(_xlfn.FORECAST.LINEAR(RIGHT(AH$6,2), $J81:$U81, VALUE(RIGHT($J$6:$U$6,2))), 0)</f>
      </c>
    </row>
    <row r="84" spans="2:34" x14ac:dyDescent="0.3">
      <c r="U84" s="227" t="str">
        <f>$U$2</f>
      </c>
    </row>
    <row r="85" spans="2:34" ht="18" x14ac:dyDescent="0.35">
      <c r="B85" s="148" t="str">
        <f>'Assumptions&amp;Scenario'!$K$10</f>
      </c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</row>
    <row r="86" spans="2:34" ht="18" thickBot="1" x14ac:dyDescent="0.35">
      <c r="B86" s="47" t="s">
        <v>542</v>
      </c>
      <c r="C86" s="48"/>
      <c r="D86" s="48"/>
      <c r="E86" s="48"/>
      <c r="F86" s="48"/>
      <c r="G86" s="48"/>
      <c r="H86" s="49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Y86" s="47" t="s">
        <v>543</v>
      </c>
      <c r="Z86" s="48"/>
      <c r="AA86" s="48"/>
      <c r="AB86" s="48"/>
      <c r="AC86" s="48"/>
      <c r="AD86" s="48"/>
      <c r="AE86" s="48"/>
      <c r="AF86" s="48"/>
      <c r="AG86" s="48"/>
      <c r="AH86" s="48"/>
    </row>
    <row r="87" spans="2:34" x14ac:dyDescent="0.3">
      <c r="C87" s="2"/>
      <c r="D87" s="2"/>
      <c r="E87" s="2"/>
      <c r="F87" s="2"/>
      <c r="L87" s="83"/>
      <c r="M87" s="83"/>
      <c r="N87" s="83"/>
      <c r="O87" s="83"/>
      <c r="P87" s="83"/>
      <c r="Q87" s="83"/>
      <c r="R87" s="83"/>
      <c r="S87" s="83"/>
      <c r="T87" s="83"/>
      <c r="U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</row>
    <row r="88" spans="2:34" ht="15.6" x14ac:dyDescent="0.3">
      <c r="C88" s="43" t="s">
        <v>389</v>
      </c>
      <c r="D88" s="43"/>
      <c r="E88" s="43"/>
      <c r="F88" s="43"/>
      <c r="G88" s="43"/>
      <c r="H88" s="44"/>
      <c r="I88" s="44"/>
      <c r="J88" s="44" t="str">
        <f>"FY"&amp;TEXT(RIGHT(K88,2)-(COLUMN(K88)-COLUMN()),"00")</f>
      </c>
      <c r="K88" s="44" t="str">
        <f t="shared" ref="K88" si="52">"FY"&amp;TEXT(RIGHT(L88,2)-(COLUMN(L88)-COLUMN()),"00")</f>
      </c>
      <c r="L88" s="79" t="str">
        <f t="shared" ref="L88" si="53">"FY"&amp;TEXT(RIGHT(M88,2)-(COLUMN(M88)-COLUMN()),"00")</f>
      </c>
      <c r="M88" s="79" t="str">
        <f t="shared" ref="M88" si="54">"FY"&amp;TEXT(RIGHT(N88,2)-(COLUMN(N88)-COLUMN()),"00")</f>
      </c>
      <c r="N88" s="79" t="str">
        <f t="shared" ref="N88" si="55">"FY"&amp;TEXT(RIGHT(O88,2)-(COLUMN(O88)-COLUMN()),"00")</f>
      </c>
      <c r="O88" s="79" t="str">
        <f t="shared" ref="O88" si="56">"FY"&amp;TEXT(RIGHT(P88,2)-(COLUMN(P88)-COLUMN()),"00")</f>
      </c>
      <c r="P88" s="79" t="str">
        <f t="shared" ref="P88" si="57">"FY"&amp;TEXT(RIGHT(Q88,2)-(COLUMN(Q88)-COLUMN()),"00")</f>
      </c>
      <c r="Q88" s="79" t="str">
        <f t="shared" ref="Q88" si="58">"FY"&amp;TEXT(RIGHT(R88,2)-(COLUMN(R88)-COLUMN()),"00")</f>
      </c>
      <c r="R88" s="79" t="str">
        <f t="shared" ref="R88" si="59">"FY"&amp;TEXT(RIGHT(S88,2)-(COLUMN(S88)-COLUMN()),"00")</f>
      </c>
      <c r="S88" s="79" t="str">
        <f t="shared" ref="S88" si="60">"FY"&amp;TEXT(RIGHT(T88,2)-(COLUMN(T88)-COLUMN()),"00")</f>
      </c>
      <c r="T88" s="79" t="str">
        <f t="shared" ref="T88" si="61">"FY"&amp;TEXT(RIGHT(U88,2)-(COLUMN(U88)-COLUMN()),"00")</f>
      </c>
      <c r="U88" s="79" t="str">
        <f>"FY"&amp;TEXT(DATE(YEAR('Data Sheet'!$K$16)+(MONTH('Data Sheet'!$K$16)&gt;3),1,1),"YY")</f>
      </c>
      <c r="Y88" s="44" t="str">
        <f>Model!$L$6</f>
      </c>
      <c r="Z88" s="44" t="str">
        <f t="shared" ref="Z88" si="62">"FY"&amp;TEXT(RIGHT(Y88,2)+COLUMN()-COLUMN(Y88),"00")</f>
      </c>
      <c r="AA88" s="44" t="str">
        <f t="shared" ref="AA88" si="63">"FY"&amp;TEXT(RIGHT(Z88,2)+COLUMN()-COLUMN(Z88),"00")</f>
      </c>
      <c r="AB88" s="44" t="str">
        <f t="shared" ref="AB88" si="64">"FY"&amp;TEXT(RIGHT(AA88,2)+COLUMN()-COLUMN(AA88),"00")</f>
      </c>
      <c r="AC88" s="44" t="str">
        <f t="shared" ref="AC88" si="65">"FY"&amp;TEXT(RIGHT(AB88,2)+COLUMN()-COLUMN(AB88),"00")</f>
      </c>
      <c r="AD88" s="44" t="str">
        <f t="shared" ref="AD88" si="66">"FY"&amp;TEXT(RIGHT(AC88,2)+COLUMN()-COLUMN(AC88),"00")</f>
      </c>
      <c r="AE88" s="44" t="str">
        <f t="shared" ref="AE88" si="67">"FY"&amp;TEXT(RIGHT(AD88,2)+COLUMN()-COLUMN(AD88),"00")</f>
      </c>
      <c r="AF88" s="44" t="str">
        <f t="shared" ref="AF88" si="68">"FY"&amp;TEXT(RIGHT(AE88,2)+COLUMN()-COLUMN(AE88),"00")</f>
      </c>
      <c r="AG88" s="44" t="str">
        <f t="shared" ref="AG88" si="69">"FY"&amp;TEXT(RIGHT(AF88,2)+COLUMN()-COLUMN(AF88),"00")</f>
      </c>
      <c r="AH88" s="44" t="str">
        <f t="shared" ref="AH88" si="70">"FY"&amp;TEXT(RIGHT(AG88,2)+COLUMN()-COLUMN(AG88),"00")</f>
      </c>
    </row>
    <row r="89" spans="2:34" ht="3" customHeight="1" x14ac:dyDescent="0.3"/>
    <row r="90" spans="2:34" ht="3" customHeight="1" x14ac:dyDescent="0.3"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2:34" ht="3" customHeight="1" x14ac:dyDescent="0.3"/>
    <row r="92" spans="2:34" ht="3" customHeight="1" x14ac:dyDescent="0.3"/>
    <row r="93" spans="2:34" x14ac:dyDescent="0.3">
      <c r="C93" s="2" t="s">
        <v>561</v>
      </c>
      <c r="H93" s="77" t="str">
        <f>$H$10</f>
      </c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Y93" s="90" cm="1">
        <f t="array" ref="Y93">IFERROR(_xlfn.FORECAST.LINEAR(RIGHT(Y$6,2), $J93:$U93, VALUE(RIGHT($J$6:$U$6,2))), 0)</f>
      </c>
      <c r="Z93" s="90" cm="1">
        <f t="array" ref="Z93">IFERROR(_xlfn.FORECAST.LINEAR(RIGHT(Z$6,2), $J93:$U93, VALUE(RIGHT($J$6:$U$6,2))), 0)</f>
      </c>
      <c r="AA93" s="90" cm="1">
        <f t="array" ref="AA93">IFERROR(_xlfn.FORECAST.LINEAR(RIGHT(AA$6,2), $J93:$U93, VALUE(RIGHT($J$6:$U$6,2))), 0)</f>
      </c>
      <c r="AB93" s="90" cm="1">
        <f t="array" ref="AB93">IFERROR(_xlfn.FORECAST.LINEAR(RIGHT(AB$6,2), $J93:$U93, VALUE(RIGHT($J$6:$U$6,2))), 0)</f>
      </c>
      <c r="AC93" s="90" cm="1">
        <f t="array" ref="AC93">IFERROR(_xlfn.FORECAST.LINEAR(RIGHT(AC$6,2), $J93:$U93, VALUE(RIGHT($J$6:$U$6,2))), 0)</f>
      </c>
      <c r="AD93" s="90" cm="1">
        <f t="array" ref="AD93">IFERROR(_xlfn.FORECAST.LINEAR(RIGHT(AD$6,2), $J93:$U93, VALUE(RIGHT($J$6:$U$6,2))), 0)</f>
      </c>
      <c r="AE93" s="90" cm="1">
        <f t="array" ref="AE93">IFERROR(_xlfn.FORECAST.LINEAR(RIGHT(AE$6,2), $J93:$U93, VALUE(RIGHT($J$6:$U$6,2))), 0)</f>
      </c>
      <c r="AF93" s="90" cm="1">
        <f t="array" ref="AF93">IFERROR(_xlfn.FORECAST.LINEAR(RIGHT(AF$6,2), $J93:$U93, VALUE(RIGHT($J$6:$U$6,2))), 0)</f>
      </c>
      <c r="AG93" s="90" cm="1">
        <f t="array" ref="AG93">IFERROR(_xlfn.FORECAST.LINEAR(RIGHT(AG$6,2), $J93:$U93, VALUE(RIGHT($J$6:$U$6,2))), 0)</f>
      </c>
      <c r="AH93" s="90" cm="1">
        <f t="array" ref="AH93">IFERROR(_xlfn.FORECAST.LINEAR(RIGHT(AH$6,2), $J93:$U93, VALUE(RIGHT($J$6:$U$6,2))), 0)</f>
      </c>
    </row>
    <row r="94" spans="2:34" x14ac:dyDescent="0.3">
      <c r="D94" t="s">
        <v>551</v>
      </c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Y94" s="71" cm="1">
        <f t="array" ref="Y94">IFERROR(_xlfn.FORECAST.LINEAR(RIGHT(Y$6,2), $J94:$U94, VALUE(RIGHT($J$6:$U$6,2))), 0)</f>
      </c>
      <c r="Z94" s="71" cm="1">
        <f t="array" ref="Z94">IFERROR(_xlfn.FORECAST.LINEAR(RIGHT(Z$6,2), $J94:$U94, VALUE(RIGHT($J$6:$U$6,2))), 0)</f>
      </c>
      <c r="AA94" s="71" cm="1">
        <f t="array" ref="AA94">IFERROR(_xlfn.FORECAST.LINEAR(RIGHT(AA$6,2), $J94:$U94, VALUE(RIGHT($J$6:$U$6,2))), 0)</f>
      </c>
      <c r="AB94" s="71" cm="1">
        <f t="array" ref="AB94">IFERROR(_xlfn.FORECAST.LINEAR(RIGHT(AB$6,2), $J94:$U94, VALUE(RIGHT($J$6:$U$6,2))), 0)</f>
      </c>
      <c r="AC94" s="71" cm="1">
        <f t="array" ref="AC94">IFERROR(_xlfn.FORECAST.LINEAR(RIGHT(AC$6,2), $J94:$U94, VALUE(RIGHT($J$6:$U$6,2))), 0)</f>
      </c>
      <c r="AD94" s="71" cm="1">
        <f t="array" ref="AD94">IFERROR(_xlfn.FORECAST.LINEAR(RIGHT(AD$6,2), $J94:$U94, VALUE(RIGHT($J$6:$U$6,2))), 0)</f>
      </c>
      <c r="AE94" s="71" cm="1">
        <f t="array" ref="AE94">IFERROR(_xlfn.FORECAST.LINEAR(RIGHT(AE$6,2), $J94:$U94, VALUE(RIGHT($J$6:$U$6,2))), 0)</f>
      </c>
      <c r="AF94" s="71" cm="1">
        <f t="array" ref="AF94">IFERROR(_xlfn.FORECAST.LINEAR(RIGHT(AF$6,2), $J94:$U94, VALUE(RIGHT($J$6:$U$6,2))), 0)</f>
      </c>
      <c r="AG94" s="71" cm="1">
        <f t="array" ref="AG94">IFERROR(_xlfn.FORECAST.LINEAR(RIGHT(AG$6,2), $J94:$U94, VALUE(RIGHT($J$6:$U$6,2))), 0)</f>
      </c>
      <c r="AH94" s="71" cm="1">
        <f t="array" ref="AH94">IFERROR(_xlfn.FORECAST.LINEAR(RIGHT(AH$6,2), $J94:$U94, VALUE(RIGHT($J$6:$U$6,2))), 0)</f>
      </c>
    </row>
    <row r="95" spans="2:34" x14ac:dyDescent="0.3">
      <c r="D95" t="s">
        <v>547</v>
      </c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Y95" s="71" cm="1">
        <f t="array" ref="Y95">IFERROR(_xlfn.FORECAST.LINEAR(RIGHT(Y$6,2), $J95:$U95, VALUE(RIGHT($J$6:$U$6,2))), 0)</f>
      </c>
      <c r="Z95" s="71" cm="1">
        <f t="array" ref="Z95">IFERROR(_xlfn.FORECAST.LINEAR(RIGHT(Z$6,2), $J95:$U95, VALUE(RIGHT($J$6:$U$6,2))), 0)</f>
      </c>
      <c r="AA95" s="71" cm="1">
        <f t="array" ref="AA95">IFERROR(_xlfn.FORECAST.LINEAR(RIGHT(AA$6,2), $J95:$U95, VALUE(RIGHT($J$6:$U$6,2))), 0)</f>
      </c>
      <c r="AB95" s="71" cm="1">
        <f t="array" ref="AB95">IFERROR(_xlfn.FORECAST.LINEAR(RIGHT(AB$6,2), $J95:$U95, VALUE(RIGHT($J$6:$U$6,2))), 0)</f>
      </c>
      <c r="AC95" s="71" cm="1">
        <f t="array" ref="AC95">IFERROR(_xlfn.FORECAST.LINEAR(RIGHT(AC$6,2), $J95:$U95, VALUE(RIGHT($J$6:$U$6,2))), 0)</f>
      </c>
      <c r="AD95" s="71" cm="1">
        <f t="array" ref="AD95">IFERROR(_xlfn.FORECAST.LINEAR(RIGHT(AD$6,2), $J95:$U95, VALUE(RIGHT($J$6:$U$6,2))), 0)</f>
      </c>
      <c r="AE95" s="71" cm="1">
        <f t="array" ref="AE95">IFERROR(_xlfn.FORECAST.LINEAR(RIGHT(AE$6,2), $J95:$U95, VALUE(RIGHT($J$6:$U$6,2))), 0)</f>
      </c>
      <c r="AF95" s="71" cm="1">
        <f t="array" ref="AF95">IFERROR(_xlfn.FORECAST.LINEAR(RIGHT(AF$6,2), $J95:$U95, VALUE(RIGHT($J$6:$U$6,2))), 0)</f>
      </c>
      <c r="AG95" s="71" cm="1">
        <f t="array" ref="AG95">IFERROR(_xlfn.FORECAST.LINEAR(RIGHT(AG$6,2), $J95:$U95, VALUE(RIGHT($J$6:$U$6,2))), 0)</f>
      </c>
      <c r="AH95" s="71" cm="1">
        <f t="array" ref="AH95">IFERROR(_xlfn.FORECAST.LINEAR(RIGHT(AH$6,2), $J95:$U95, VALUE(RIGHT($J$6:$U$6,2))), 0)</f>
      </c>
    </row>
    <row r="96" spans="2:34" x14ac:dyDescent="0.3">
      <c r="D96" t="s">
        <v>552</v>
      </c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Y96" s="71" cm="1">
        <f t="array" ref="Y96">IFERROR(_xlfn.FORECAST.LINEAR(RIGHT(Y$6,2), $J96:$U96, VALUE(RIGHT($J$6:$U$6,2))), 0)</f>
      </c>
      <c r="Z96" s="71" cm="1">
        <f t="array" ref="Z96">IFERROR(_xlfn.FORECAST.LINEAR(RIGHT(Z$6,2), $J96:$U96, VALUE(RIGHT($J$6:$U$6,2))), 0)</f>
      </c>
      <c r="AA96" s="71" cm="1">
        <f t="array" ref="AA96">IFERROR(_xlfn.FORECAST.LINEAR(RIGHT(AA$6,2), $J96:$U96, VALUE(RIGHT($J$6:$U$6,2))), 0)</f>
      </c>
      <c r="AB96" s="71" cm="1">
        <f t="array" ref="AB96">IFERROR(_xlfn.FORECAST.LINEAR(RIGHT(AB$6,2), $J96:$U96, VALUE(RIGHT($J$6:$U$6,2))), 0)</f>
      </c>
      <c r="AC96" s="71" cm="1">
        <f t="array" ref="AC96">IFERROR(_xlfn.FORECAST.LINEAR(RIGHT(AC$6,2), $J96:$U96, VALUE(RIGHT($J$6:$U$6,2))), 0)</f>
      </c>
      <c r="AD96" s="71" cm="1">
        <f t="array" ref="AD96">IFERROR(_xlfn.FORECAST.LINEAR(RIGHT(AD$6,2), $J96:$U96, VALUE(RIGHT($J$6:$U$6,2))), 0)</f>
      </c>
      <c r="AE96" s="71" cm="1">
        <f t="array" ref="AE96">IFERROR(_xlfn.FORECAST.LINEAR(RIGHT(AE$6,2), $J96:$U96, VALUE(RIGHT($J$6:$U$6,2))), 0)</f>
      </c>
      <c r="AF96" s="71" cm="1">
        <f t="array" ref="AF96">IFERROR(_xlfn.FORECAST.LINEAR(RIGHT(AF$6,2), $J96:$U96, VALUE(RIGHT($J$6:$U$6,2))), 0)</f>
      </c>
      <c r="AG96" s="71" cm="1">
        <f t="array" ref="AG96">IFERROR(_xlfn.FORECAST.LINEAR(RIGHT(AG$6,2), $J96:$U96, VALUE(RIGHT($J$6:$U$6,2))), 0)</f>
      </c>
      <c r="AH96" s="71" cm="1">
        <f t="array" ref="AH96">IFERROR(_xlfn.FORECAST.LINEAR(RIGHT(AH$6,2), $J96:$U96, VALUE(RIGHT($J$6:$U$6,2))), 0)</f>
      </c>
    </row>
    <row r="97" spans="3:34" x14ac:dyDescent="0.3">
      <c r="D97" t="s">
        <v>546</v>
      </c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Y97" s="71" cm="1">
        <f t="array" ref="Y97">IFERROR(_xlfn.FORECAST.LINEAR(RIGHT(Y$6,2), $J97:$U97, VALUE(RIGHT($J$6:$U$6,2))), 0)</f>
      </c>
      <c r="Z97" s="71" cm="1">
        <f t="array" ref="Z97">IFERROR(_xlfn.FORECAST.LINEAR(RIGHT(Z$6,2), $J97:$U97, VALUE(RIGHT($J$6:$U$6,2))), 0)</f>
      </c>
      <c r="AA97" s="71" cm="1">
        <f t="array" ref="AA97">IFERROR(_xlfn.FORECAST.LINEAR(RIGHT(AA$6,2), $J97:$U97, VALUE(RIGHT($J$6:$U$6,2))), 0)</f>
      </c>
      <c r="AB97" s="71" cm="1">
        <f t="array" ref="AB97">IFERROR(_xlfn.FORECAST.LINEAR(RIGHT(AB$6,2), $J97:$U97, VALUE(RIGHT($J$6:$U$6,2))), 0)</f>
      </c>
      <c r="AC97" s="71" cm="1">
        <f t="array" ref="AC97">IFERROR(_xlfn.FORECAST.LINEAR(RIGHT(AC$6,2), $J97:$U97, VALUE(RIGHT($J$6:$U$6,2))), 0)</f>
      </c>
      <c r="AD97" s="71" cm="1">
        <f t="array" ref="AD97">IFERROR(_xlfn.FORECAST.LINEAR(RIGHT(AD$6,2), $J97:$U97, VALUE(RIGHT($J$6:$U$6,2))), 0)</f>
      </c>
      <c r="AE97" s="71" cm="1">
        <f t="array" ref="AE97">IFERROR(_xlfn.FORECAST.LINEAR(RIGHT(AE$6,2), $J97:$U97, VALUE(RIGHT($J$6:$U$6,2))), 0)</f>
      </c>
      <c r="AF97" s="71" cm="1">
        <f t="array" ref="AF97">IFERROR(_xlfn.FORECAST.LINEAR(RIGHT(AF$6,2), $J97:$U97, VALUE(RIGHT($J$6:$U$6,2))), 0)</f>
      </c>
      <c r="AG97" s="71" cm="1">
        <f t="array" ref="AG97">IFERROR(_xlfn.FORECAST.LINEAR(RIGHT(AG$6,2), $J97:$U97, VALUE(RIGHT($J$6:$U$6,2))), 0)</f>
      </c>
      <c r="AH97" s="71" cm="1">
        <f t="array" ref="AH97">IFERROR(_xlfn.FORECAST.LINEAR(RIGHT(AH$6,2), $J97:$U97, VALUE(RIGHT($J$6:$U$6,2))), 0)</f>
      </c>
    </row>
    <row r="98" spans="3:34" x14ac:dyDescent="0.3">
      <c r="D98" t="s">
        <v>553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Y98" s="71" cm="1">
        <f t="array" ref="Y98">IFERROR(_xlfn.FORECAST.LINEAR(RIGHT(Y$6,2), $J98:$U98, VALUE(RIGHT($J$6:$U$6,2))), 0)</f>
      </c>
      <c r="Z98" s="71" cm="1">
        <f t="array" ref="Z98">IFERROR(_xlfn.FORECAST.LINEAR(RIGHT(Z$6,2), $J98:$U98, VALUE(RIGHT($J$6:$U$6,2))), 0)</f>
      </c>
      <c r="AA98" s="71" cm="1">
        <f t="array" ref="AA98">IFERROR(_xlfn.FORECAST.LINEAR(RIGHT(AA$6,2), $J98:$U98, VALUE(RIGHT($J$6:$U$6,2))), 0)</f>
      </c>
      <c r="AB98" s="71" cm="1">
        <f t="array" ref="AB98">IFERROR(_xlfn.FORECAST.LINEAR(RIGHT(AB$6,2), $J98:$U98, VALUE(RIGHT($J$6:$U$6,2))), 0)</f>
      </c>
      <c r="AC98" s="71" cm="1">
        <f t="array" ref="AC98">IFERROR(_xlfn.FORECAST.LINEAR(RIGHT(AC$6,2), $J98:$U98, VALUE(RIGHT($J$6:$U$6,2))), 0)</f>
      </c>
      <c r="AD98" s="71" cm="1">
        <f t="array" ref="AD98">IFERROR(_xlfn.FORECAST.LINEAR(RIGHT(AD$6,2), $J98:$U98, VALUE(RIGHT($J$6:$U$6,2))), 0)</f>
      </c>
      <c r="AE98" s="71" cm="1">
        <f t="array" ref="AE98">IFERROR(_xlfn.FORECAST.LINEAR(RIGHT(AE$6,2), $J98:$U98, VALUE(RIGHT($J$6:$U$6,2))), 0)</f>
      </c>
      <c r="AF98" s="71" cm="1">
        <f t="array" ref="AF98">IFERROR(_xlfn.FORECAST.LINEAR(RIGHT(AF$6,2), $J98:$U98, VALUE(RIGHT($J$6:$U$6,2))), 0)</f>
      </c>
      <c r="AG98" s="71" cm="1">
        <f t="array" ref="AG98">IFERROR(_xlfn.FORECAST.LINEAR(RIGHT(AG$6,2), $J98:$U98, VALUE(RIGHT($J$6:$U$6,2))), 0)</f>
      </c>
      <c r="AH98" s="71" cm="1">
        <f t="array" ref="AH98">IFERROR(_xlfn.FORECAST.LINEAR(RIGHT(AH$6,2), $J98:$U98, VALUE(RIGHT($J$6:$U$6,2))), 0)</f>
      </c>
    </row>
    <row r="99" spans="3:34" x14ac:dyDescent="0.3">
      <c r="D99" t="s">
        <v>544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Y99" s="71" cm="1">
        <f t="array" ref="Y99">IFERROR(_xlfn.FORECAST.LINEAR(RIGHT(Y$6,2), $J99:$U99, VALUE(RIGHT($J$6:$U$6,2))), 0)</f>
      </c>
      <c r="Z99" s="71" cm="1">
        <f t="array" ref="Z99">IFERROR(_xlfn.FORECAST.LINEAR(RIGHT(Z$6,2), $J99:$U99, VALUE(RIGHT($J$6:$U$6,2))), 0)</f>
      </c>
      <c r="AA99" s="71" cm="1">
        <f t="array" ref="AA99">IFERROR(_xlfn.FORECAST.LINEAR(RIGHT(AA$6,2), $J99:$U99, VALUE(RIGHT($J$6:$U$6,2))), 0)</f>
      </c>
      <c r="AB99" s="71" cm="1">
        <f t="array" ref="AB99">IFERROR(_xlfn.FORECAST.LINEAR(RIGHT(AB$6,2), $J99:$U99, VALUE(RIGHT($J$6:$U$6,2))), 0)</f>
      </c>
      <c r="AC99" s="71" cm="1">
        <f t="array" ref="AC99">IFERROR(_xlfn.FORECAST.LINEAR(RIGHT(AC$6,2), $J99:$U99, VALUE(RIGHT($J$6:$U$6,2))), 0)</f>
      </c>
      <c r="AD99" s="71" cm="1">
        <f t="array" ref="AD99">IFERROR(_xlfn.FORECAST.LINEAR(RIGHT(AD$6,2), $J99:$U99, VALUE(RIGHT($J$6:$U$6,2))), 0)</f>
      </c>
      <c r="AE99" s="71" cm="1">
        <f t="array" ref="AE99">IFERROR(_xlfn.FORECAST.LINEAR(RIGHT(AE$6,2), $J99:$U99, VALUE(RIGHT($J$6:$U$6,2))), 0)</f>
      </c>
      <c r="AF99" s="71" cm="1">
        <f t="array" ref="AF99">IFERROR(_xlfn.FORECAST.LINEAR(RIGHT(AF$6,2), $J99:$U99, VALUE(RIGHT($J$6:$U$6,2))), 0)</f>
      </c>
      <c r="AG99" s="71" cm="1">
        <f t="array" ref="AG99">IFERROR(_xlfn.FORECAST.LINEAR(RIGHT(AG$6,2), $J99:$U99, VALUE(RIGHT($J$6:$U$6,2))), 0)</f>
      </c>
      <c r="AH99" s="71" cm="1">
        <f t="array" ref="AH99">IFERROR(_xlfn.FORECAST.LINEAR(RIGHT(AH$6,2), $J99:$U99, VALUE(RIGHT($J$6:$U$6,2))), 0)</f>
      </c>
    </row>
    <row r="100" spans="3:34" x14ac:dyDescent="0.3">
      <c r="D100" t="s">
        <v>545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Y100" s="71" cm="1">
        <f t="array" ref="Y100">IFERROR(_xlfn.FORECAST.LINEAR(RIGHT(Y$6,2), $J100:$U100, VALUE(RIGHT($J$6:$U$6,2))), 0)</f>
      </c>
      <c r="Z100" s="71" cm="1">
        <f t="array" ref="Z100">IFERROR(_xlfn.FORECAST.LINEAR(RIGHT(Z$6,2), $J100:$U100, VALUE(RIGHT($J$6:$U$6,2))), 0)</f>
      </c>
      <c r="AA100" s="71" cm="1">
        <f t="array" ref="AA100">IFERROR(_xlfn.FORECAST.LINEAR(RIGHT(AA$6,2), $J100:$U100, VALUE(RIGHT($J$6:$U$6,2))), 0)</f>
      </c>
      <c r="AB100" s="71" cm="1">
        <f t="array" ref="AB100">IFERROR(_xlfn.FORECAST.LINEAR(RIGHT(AB$6,2), $J100:$U100, VALUE(RIGHT($J$6:$U$6,2))), 0)</f>
      </c>
      <c r="AC100" s="71" cm="1">
        <f t="array" ref="AC100">IFERROR(_xlfn.FORECAST.LINEAR(RIGHT(AC$6,2), $J100:$U100, VALUE(RIGHT($J$6:$U$6,2))), 0)</f>
      </c>
      <c r="AD100" s="71" cm="1">
        <f t="array" ref="AD100">IFERROR(_xlfn.FORECAST.LINEAR(RIGHT(AD$6,2), $J100:$U100, VALUE(RIGHT($J$6:$U$6,2))), 0)</f>
      </c>
      <c r="AE100" s="71" cm="1">
        <f t="array" ref="AE100">IFERROR(_xlfn.FORECAST.LINEAR(RIGHT(AE$6,2), $J100:$U100, VALUE(RIGHT($J$6:$U$6,2))), 0)</f>
      </c>
      <c r="AF100" s="71" cm="1">
        <f t="array" ref="AF100">IFERROR(_xlfn.FORECAST.LINEAR(RIGHT(AF$6,2), $J100:$U100, VALUE(RIGHT($J$6:$U$6,2))), 0)</f>
      </c>
      <c r="AG100" s="71" cm="1">
        <f t="array" ref="AG100">IFERROR(_xlfn.FORECAST.LINEAR(RIGHT(AG$6,2), $J100:$U100, VALUE(RIGHT($J$6:$U$6,2))), 0)</f>
      </c>
      <c r="AH100" s="71" cm="1">
        <f t="array" ref="AH100">IFERROR(_xlfn.FORECAST.LINEAR(RIGHT(AH$6,2), $J100:$U100, VALUE(RIGHT($J$6:$U$6,2))), 0)</f>
      </c>
    </row>
    <row r="101" spans="3:34" x14ac:dyDescent="0.3">
      <c r="D101" t="s">
        <v>554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Y101" s="71" cm="1">
        <f t="array" ref="Y101">IFERROR(_xlfn.FORECAST.LINEAR(RIGHT(Y$6,2), $J101:$U101, VALUE(RIGHT($J$6:$U$6,2))), 0)</f>
      </c>
      <c r="Z101" s="71" cm="1">
        <f t="array" ref="Z101">IFERROR(_xlfn.FORECAST.LINEAR(RIGHT(Z$6,2), $J101:$U101, VALUE(RIGHT($J$6:$U$6,2))), 0)</f>
      </c>
      <c r="AA101" s="71" cm="1">
        <f t="array" ref="AA101">IFERROR(_xlfn.FORECAST.LINEAR(RIGHT(AA$6,2), $J101:$U101, VALUE(RIGHT($J$6:$U$6,2))), 0)</f>
      </c>
      <c r="AB101" s="71" cm="1">
        <f t="array" ref="AB101">IFERROR(_xlfn.FORECAST.LINEAR(RIGHT(AB$6,2), $J101:$U101, VALUE(RIGHT($J$6:$U$6,2))), 0)</f>
      </c>
      <c r="AC101" s="71" cm="1">
        <f t="array" ref="AC101">IFERROR(_xlfn.FORECAST.LINEAR(RIGHT(AC$6,2), $J101:$U101, VALUE(RIGHT($J$6:$U$6,2))), 0)</f>
      </c>
      <c r="AD101" s="71" cm="1">
        <f t="array" ref="AD101">IFERROR(_xlfn.FORECAST.LINEAR(RIGHT(AD$6,2), $J101:$U101, VALUE(RIGHT($J$6:$U$6,2))), 0)</f>
      </c>
      <c r="AE101" s="71" cm="1">
        <f t="array" ref="AE101">IFERROR(_xlfn.FORECAST.LINEAR(RIGHT(AE$6,2), $J101:$U101, VALUE(RIGHT($J$6:$U$6,2))), 0)</f>
      </c>
      <c r="AF101" s="71" cm="1">
        <f t="array" ref="AF101">IFERROR(_xlfn.FORECAST.LINEAR(RIGHT(AF$6,2), $J101:$U101, VALUE(RIGHT($J$6:$U$6,2))), 0)</f>
      </c>
      <c r="AG101" s="71" cm="1">
        <f t="array" ref="AG101">IFERROR(_xlfn.FORECAST.LINEAR(RIGHT(AG$6,2), $J101:$U101, VALUE(RIGHT($J$6:$U$6,2))), 0)</f>
      </c>
      <c r="AH101" s="71" cm="1">
        <f t="array" ref="AH101">IFERROR(_xlfn.FORECAST.LINEAR(RIGHT(AH$6,2), $J101:$U101, VALUE(RIGHT($J$6:$U$6,2))), 0)</f>
      </c>
    </row>
    <row r="102" spans="3:34" x14ac:dyDescent="0.3">
      <c r="C102" s="2" t="s">
        <v>555</v>
      </c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Y102" s="90" cm="1">
        <f t="array" ref="Y102">IFERROR(_xlfn.FORECAST.LINEAR(RIGHT(Y$6,2), $J102:$U102, VALUE(RIGHT($J$6:$U$6,2))), 0)</f>
      </c>
      <c r="Z102" s="90" cm="1">
        <f t="array" ref="Z102">IFERROR(_xlfn.FORECAST.LINEAR(RIGHT(Z$6,2), $J102:$U102, VALUE(RIGHT($J$6:$U$6,2))), 0)</f>
      </c>
      <c r="AA102" s="90" cm="1">
        <f t="array" ref="AA102">IFERROR(_xlfn.FORECAST.LINEAR(RIGHT(AA$6,2), $J102:$U102, VALUE(RIGHT($J$6:$U$6,2))), 0)</f>
      </c>
      <c r="AB102" s="90" cm="1">
        <f t="array" ref="AB102">IFERROR(_xlfn.FORECAST.LINEAR(RIGHT(AB$6,2), $J102:$U102, VALUE(RIGHT($J$6:$U$6,2))), 0)</f>
      </c>
      <c r="AC102" s="90" cm="1">
        <f t="array" ref="AC102">IFERROR(_xlfn.FORECAST.LINEAR(RIGHT(AC$6,2), $J102:$U102, VALUE(RIGHT($J$6:$U$6,2))), 0)</f>
      </c>
      <c r="AD102" s="90" cm="1">
        <f t="array" ref="AD102">IFERROR(_xlfn.FORECAST.LINEAR(RIGHT(AD$6,2), $J102:$U102, VALUE(RIGHT($J$6:$U$6,2))), 0)</f>
      </c>
      <c r="AE102" s="90" cm="1">
        <f t="array" ref="AE102">IFERROR(_xlfn.FORECAST.LINEAR(RIGHT(AE$6,2), $J102:$U102, VALUE(RIGHT($J$6:$U$6,2))), 0)</f>
      </c>
      <c r="AF102" s="90" cm="1">
        <f t="array" ref="AF102">IFERROR(_xlfn.FORECAST.LINEAR(RIGHT(AF$6,2), $J102:$U102, VALUE(RIGHT($J$6:$U$6,2))), 0)</f>
      </c>
      <c r="AG102" s="90" cm="1">
        <f t="array" ref="AG102">IFERROR(_xlfn.FORECAST.LINEAR(RIGHT(AG$6,2), $J102:$U102, VALUE(RIGHT($J$6:$U$6,2))), 0)</f>
      </c>
      <c r="AH102" s="90" cm="1">
        <f t="array" ref="AH102">IFERROR(_xlfn.FORECAST.LINEAR(RIGHT(AH$6,2), $J102:$U102, VALUE(RIGHT($J$6:$U$6,2))), 0)</f>
      </c>
    </row>
    <row r="103" spans="3:34" x14ac:dyDescent="0.3">
      <c r="C103" s="2" t="s">
        <v>567</v>
      </c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Y103" s="90" cm="1">
        <f t="array" ref="Y103">IFERROR(_xlfn.FORECAST.LINEAR(RIGHT(Y$6,2), $J103:$U103, VALUE(RIGHT($J$6:$U$6,2))), 0)</f>
      </c>
      <c r="Z103" s="90" cm="1">
        <f t="array" ref="Z103">IFERROR(_xlfn.FORECAST.LINEAR(RIGHT(Z$6,2), $J103:$U103, VALUE(RIGHT($J$6:$U$6,2))), 0)</f>
      </c>
      <c r="AA103" s="90" cm="1">
        <f t="array" ref="AA103">IFERROR(_xlfn.FORECAST.LINEAR(RIGHT(AA$6,2), $J103:$U103, VALUE(RIGHT($J$6:$U$6,2))), 0)</f>
      </c>
      <c r="AB103" s="90" cm="1">
        <f t="array" ref="AB103">IFERROR(_xlfn.FORECAST.LINEAR(RIGHT(AB$6,2), $J103:$U103, VALUE(RIGHT($J$6:$U$6,2))), 0)</f>
      </c>
      <c r="AC103" s="90" cm="1">
        <f t="array" ref="AC103">IFERROR(_xlfn.FORECAST.LINEAR(RIGHT(AC$6,2), $J103:$U103, VALUE(RIGHT($J$6:$U$6,2))), 0)</f>
      </c>
      <c r="AD103" s="90" cm="1">
        <f t="array" ref="AD103">IFERROR(_xlfn.FORECAST.LINEAR(RIGHT(AD$6,2), $J103:$U103, VALUE(RIGHT($J$6:$U$6,2))), 0)</f>
      </c>
      <c r="AE103" s="90" cm="1">
        <f t="array" ref="AE103">IFERROR(_xlfn.FORECAST.LINEAR(RIGHT(AE$6,2), $J103:$U103, VALUE(RIGHT($J$6:$U$6,2))), 0)</f>
      </c>
      <c r="AF103" s="90" cm="1">
        <f t="array" ref="AF103">IFERROR(_xlfn.FORECAST.LINEAR(RIGHT(AF$6,2), $J103:$U103, VALUE(RIGHT($J$6:$U$6,2))), 0)</f>
      </c>
      <c r="AG103" s="90" cm="1">
        <f t="array" ref="AG103">IFERROR(_xlfn.FORECAST.LINEAR(RIGHT(AG$6,2), $J103:$U103, VALUE(RIGHT($J$6:$U$6,2))), 0)</f>
      </c>
      <c r="AH103" s="90" cm="1">
        <f t="array" ref="AH103">IFERROR(_xlfn.FORECAST.LINEAR(RIGHT(AH$6,2), $J103:$U103, VALUE(RIGHT($J$6:$U$6,2))), 0)</f>
      </c>
    </row>
    <row r="104" spans="3:34" x14ac:dyDescent="0.3">
      <c r="D104" t="s">
        <v>548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Y104" s="71" cm="1">
        <f t="array" ref="Y104">IFERROR(_xlfn.FORECAST.LINEAR(RIGHT(Y$6,2), $J104:$U104, VALUE(RIGHT($J$6:$U$6,2))), 0)</f>
      </c>
      <c r="Z104" s="71" cm="1">
        <f t="array" ref="Z104">IFERROR(_xlfn.FORECAST.LINEAR(RIGHT(Z$6,2), $J104:$U104, VALUE(RIGHT($J$6:$U$6,2))), 0)</f>
      </c>
      <c r="AA104" s="71" cm="1">
        <f t="array" ref="AA104">IFERROR(_xlfn.FORECAST.LINEAR(RIGHT(AA$6,2), $J104:$U104, VALUE(RIGHT($J$6:$U$6,2))), 0)</f>
      </c>
      <c r="AB104" s="71" cm="1">
        <f t="array" ref="AB104">IFERROR(_xlfn.FORECAST.LINEAR(RIGHT(AB$6,2), $J104:$U104, VALUE(RIGHT($J$6:$U$6,2))), 0)</f>
      </c>
      <c r="AC104" s="71" cm="1">
        <f t="array" ref="AC104">IFERROR(_xlfn.FORECAST.LINEAR(RIGHT(AC$6,2), $J104:$U104, VALUE(RIGHT($J$6:$U$6,2))), 0)</f>
      </c>
      <c r="AD104" s="71" cm="1">
        <f t="array" ref="AD104">IFERROR(_xlfn.FORECAST.LINEAR(RIGHT(AD$6,2), $J104:$U104, VALUE(RIGHT($J$6:$U$6,2))), 0)</f>
      </c>
      <c r="AE104" s="71" cm="1">
        <f t="array" ref="AE104">IFERROR(_xlfn.FORECAST.LINEAR(RIGHT(AE$6,2), $J104:$U104, VALUE(RIGHT($J$6:$U$6,2))), 0)</f>
      </c>
      <c r="AF104" s="71" cm="1">
        <f t="array" ref="AF104">IFERROR(_xlfn.FORECAST.LINEAR(RIGHT(AF$6,2), $J104:$U104, VALUE(RIGHT($J$6:$U$6,2))), 0)</f>
      </c>
      <c r="AG104" s="71" cm="1">
        <f t="array" ref="AG104">IFERROR(_xlfn.FORECAST.LINEAR(RIGHT(AG$6,2), $J104:$U104, VALUE(RIGHT($J$6:$U$6,2))), 0)</f>
      </c>
      <c r="AH104" s="71" cm="1">
        <f t="array" ref="AH104">IFERROR(_xlfn.FORECAST.LINEAR(RIGHT(AH$6,2), $J104:$U104, VALUE(RIGHT($J$6:$U$6,2))), 0)</f>
      </c>
    </row>
    <row r="105" spans="3:34" x14ac:dyDescent="0.3">
      <c r="D105" t="s">
        <v>556</v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Y105" s="71" cm="1">
        <f t="array" ref="Y105">IFERROR(_xlfn.FORECAST.LINEAR(RIGHT(Y$6,2), $J105:$U105, VALUE(RIGHT($J$6:$U$6,2))), 0)</f>
      </c>
      <c r="Z105" s="71" cm="1">
        <f t="array" ref="Z105">IFERROR(_xlfn.FORECAST.LINEAR(RIGHT(Z$6,2), $J105:$U105, VALUE(RIGHT($J$6:$U$6,2))), 0)</f>
      </c>
      <c r="AA105" s="71" cm="1">
        <f t="array" ref="AA105">IFERROR(_xlfn.FORECAST.LINEAR(RIGHT(AA$6,2), $J105:$U105, VALUE(RIGHT($J$6:$U$6,2))), 0)</f>
      </c>
      <c r="AB105" s="71" cm="1">
        <f t="array" ref="AB105">IFERROR(_xlfn.FORECAST.LINEAR(RIGHT(AB$6,2), $J105:$U105, VALUE(RIGHT($J$6:$U$6,2))), 0)</f>
      </c>
      <c r="AC105" s="71" cm="1">
        <f t="array" ref="AC105">IFERROR(_xlfn.FORECAST.LINEAR(RIGHT(AC$6,2), $J105:$U105, VALUE(RIGHT($J$6:$U$6,2))), 0)</f>
      </c>
      <c r="AD105" s="71" cm="1">
        <f t="array" ref="AD105">IFERROR(_xlfn.FORECAST.LINEAR(RIGHT(AD$6,2), $J105:$U105, VALUE(RIGHT($J$6:$U$6,2))), 0)</f>
      </c>
      <c r="AE105" s="71" cm="1">
        <f t="array" ref="AE105">IFERROR(_xlfn.FORECAST.LINEAR(RIGHT(AE$6,2), $J105:$U105, VALUE(RIGHT($J$6:$U$6,2))), 0)</f>
      </c>
      <c r="AF105" s="71" cm="1">
        <f t="array" ref="AF105">IFERROR(_xlfn.FORECAST.LINEAR(RIGHT(AF$6,2), $J105:$U105, VALUE(RIGHT($J$6:$U$6,2))), 0)</f>
      </c>
      <c r="AG105" s="71" cm="1">
        <f t="array" ref="AG105">IFERROR(_xlfn.FORECAST.LINEAR(RIGHT(AG$6,2), $J105:$U105, VALUE(RIGHT($J$6:$U$6,2))), 0)</f>
      </c>
      <c r="AH105" s="71" cm="1">
        <f t="array" ref="AH105">IFERROR(_xlfn.FORECAST.LINEAR(RIGHT(AH$6,2), $J105:$U105, VALUE(RIGHT($J$6:$U$6,2))), 0)</f>
      </c>
    </row>
    <row r="106" spans="3:34" x14ac:dyDescent="0.3">
      <c r="D106" t="s">
        <v>557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Y106" s="71" cm="1">
        <f t="array" ref="Y106">IFERROR(_xlfn.FORECAST.LINEAR(RIGHT(Y$6,2), $J106:$U106, VALUE(RIGHT($J$6:$U$6,2))), 0)</f>
      </c>
      <c r="Z106" s="71" cm="1">
        <f t="array" ref="Z106">IFERROR(_xlfn.FORECAST.LINEAR(RIGHT(Z$6,2), $J106:$U106, VALUE(RIGHT($J$6:$U$6,2))), 0)</f>
      </c>
      <c r="AA106" s="71" cm="1">
        <f t="array" ref="AA106">IFERROR(_xlfn.FORECAST.LINEAR(RIGHT(AA$6,2), $J106:$U106, VALUE(RIGHT($J$6:$U$6,2))), 0)</f>
      </c>
      <c r="AB106" s="71" cm="1">
        <f t="array" ref="AB106">IFERROR(_xlfn.FORECAST.LINEAR(RIGHT(AB$6,2), $J106:$U106, VALUE(RIGHT($J$6:$U$6,2))), 0)</f>
      </c>
      <c r="AC106" s="71" cm="1">
        <f t="array" ref="AC106">IFERROR(_xlfn.FORECAST.LINEAR(RIGHT(AC$6,2), $J106:$U106, VALUE(RIGHT($J$6:$U$6,2))), 0)</f>
      </c>
      <c r="AD106" s="71" cm="1">
        <f t="array" ref="AD106">IFERROR(_xlfn.FORECAST.LINEAR(RIGHT(AD$6,2), $J106:$U106, VALUE(RIGHT($J$6:$U$6,2))), 0)</f>
      </c>
      <c r="AE106" s="71" cm="1">
        <f t="array" ref="AE106">IFERROR(_xlfn.FORECAST.LINEAR(RIGHT(AE$6,2), $J106:$U106, VALUE(RIGHT($J$6:$U$6,2))), 0)</f>
      </c>
      <c r="AF106" s="71" cm="1">
        <f t="array" ref="AF106">IFERROR(_xlfn.FORECAST.LINEAR(RIGHT(AF$6,2), $J106:$U106, VALUE(RIGHT($J$6:$U$6,2))), 0)</f>
      </c>
      <c r="AG106" s="71" cm="1">
        <f t="array" ref="AG106">IFERROR(_xlfn.FORECAST.LINEAR(RIGHT(AG$6,2), $J106:$U106, VALUE(RIGHT($J$6:$U$6,2))), 0)</f>
      </c>
      <c r="AH106" s="71" cm="1">
        <f t="array" ref="AH106">IFERROR(_xlfn.FORECAST.LINEAR(RIGHT(AH$6,2), $J106:$U106, VALUE(RIGHT($J$6:$U$6,2))), 0)</f>
      </c>
    </row>
    <row r="107" spans="3:34" x14ac:dyDescent="0.3">
      <c r="D107" t="s">
        <v>549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Y107" s="71" cm="1">
        <f t="array" ref="Y107">IFERROR(_xlfn.FORECAST.LINEAR(RIGHT(Y$6,2), $J107:$U107, VALUE(RIGHT($J$6:$U$6,2))), 0)</f>
      </c>
      <c r="Z107" s="71" cm="1">
        <f t="array" ref="Z107">IFERROR(_xlfn.FORECAST.LINEAR(RIGHT(Z$6,2), $J107:$U107, VALUE(RIGHT($J$6:$U$6,2))), 0)</f>
      </c>
      <c r="AA107" s="71" cm="1">
        <f t="array" ref="AA107">IFERROR(_xlfn.FORECAST.LINEAR(RIGHT(AA$6,2), $J107:$U107, VALUE(RIGHT($J$6:$U$6,2))), 0)</f>
      </c>
      <c r="AB107" s="71" cm="1">
        <f t="array" ref="AB107">IFERROR(_xlfn.FORECAST.LINEAR(RIGHT(AB$6,2), $J107:$U107, VALUE(RIGHT($J$6:$U$6,2))), 0)</f>
      </c>
      <c r="AC107" s="71" cm="1">
        <f t="array" ref="AC107">IFERROR(_xlfn.FORECAST.LINEAR(RIGHT(AC$6,2), $J107:$U107, VALUE(RIGHT($J$6:$U$6,2))), 0)</f>
      </c>
      <c r="AD107" s="71" cm="1">
        <f t="array" ref="AD107">IFERROR(_xlfn.FORECAST.LINEAR(RIGHT(AD$6,2), $J107:$U107, VALUE(RIGHT($J$6:$U$6,2))), 0)</f>
      </c>
      <c r="AE107" s="71" cm="1">
        <f t="array" ref="AE107">IFERROR(_xlfn.FORECAST.LINEAR(RIGHT(AE$6,2), $J107:$U107, VALUE(RIGHT($J$6:$U$6,2))), 0)</f>
      </c>
      <c r="AF107" s="71" cm="1">
        <f t="array" ref="AF107">IFERROR(_xlfn.FORECAST.LINEAR(RIGHT(AF$6,2), $J107:$U107, VALUE(RIGHT($J$6:$U$6,2))), 0)</f>
      </c>
      <c r="AG107" s="71" cm="1">
        <f t="array" ref="AG107">IFERROR(_xlfn.FORECAST.LINEAR(RIGHT(AG$6,2), $J107:$U107, VALUE(RIGHT($J$6:$U$6,2))), 0)</f>
      </c>
      <c r="AH107" s="71" cm="1">
        <f t="array" ref="AH107">IFERROR(_xlfn.FORECAST.LINEAR(RIGHT(AH$6,2), $J107:$U107, VALUE(RIGHT($J$6:$U$6,2))), 0)</f>
      </c>
    </row>
    <row r="108" spans="3:34" x14ac:dyDescent="0.3">
      <c r="D108" t="s">
        <v>550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Y108" s="71" cm="1">
        <f t="array" ref="Y108">IFERROR(_xlfn.FORECAST.LINEAR(RIGHT(Y$6,2), $J108:$U108, VALUE(RIGHT($J$6:$U$6,2))), 0)</f>
      </c>
      <c r="Z108" s="71" cm="1">
        <f t="array" ref="Z108">IFERROR(_xlfn.FORECAST.LINEAR(RIGHT(Z$6,2), $J108:$U108, VALUE(RIGHT($J$6:$U$6,2))), 0)</f>
      </c>
      <c r="AA108" s="71" cm="1">
        <f t="array" ref="AA108">IFERROR(_xlfn.FORECAST.LINEAR(RIGHT(AA$6,2), $J108:$U108, VALUE(RIGHT($J$6:$U$6,2))), 0)</f>
      </c>
      <c r="AB108" s="71" cm="1">
        <f t="array" ref="AB108">IFERROR(_xlfn.FORECAST.LINEAR(RIGHT(AB$6,2), $J108:$U108, VALUE(RIGHT($J$6:$U$6,2))), 0)</f>
      </c>
      <c r="AC108" s="71" cm="1">
        <f t="array" ref="AC108">IFERROR(_xlfn.FORECAST.LINEAR(RIGHT(AC$6,2), $J108:$U108, VALUE(RIGHT($J$6:$U$6,2))), 0)</f>
      </c>
      <c r="AD108" s="71" cm="1">
        <f t="array" ref="AD108">IFERROR(_xlfn.FORECAST.LINEAR(RIGHT(AD$6,2), $J108:$U108, VALUE(RIGHT($J$6:$U$6,2))), 0)</f>
      </c>
      <c r="AE108" s="71" cm="1">
        <f t="array" ref="AE108">IFERROR(_xlfn.FORECAST.LINEAR(RIGHT(AE$6,2), $J108:$U108, VALUE(RIGHT($J$6:$U$6,2))), 0)</f>
      </c>
      <c r="AF108" s="71" cm="1">
        <f t="array" ref="AF108">IFERROR(_xlfn.FORECAST.LINEAR(RIGHT(AF$6,2), $J108:$U108, VALUE(RIGHT($J$6:$U$6,2))), 0)</f>
      </c>
      <c r="AG108" s="71" cm="1">
        <f t="array" ref="AG108">IFERROR(_xlfn.FORECAST.LINEAR(RIGHT(AG$6,2), $J108:$U108, VALUE(RIGHT($J$6:$U$6,2))), 0)</f>
      </c>
      <c r="AH108" s="71" cm="1">
        <f t="array" ref="AH108">IFERROR(_xlfn.FORECAST.LINEAR(RIGHT(AH$6,2), $J108:$U108, VALUE(RIGHT($J$6:$U$6,2))), 0)</f>
      </c>
    </row>
    <row r="109" spans="3:34" x14ac:dyDescent="0.3">
      <c r="D109" t="s">
        <v>558</v>
      </c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Y109" s="71" cm="1">
        <f t="array" ref="Y109">IFERROR(_xlfn.FORECAST.LINEAR(RIGHT(Y$6,2), $J109:$U109, VALUE(RIGHT($J$6:$U$6,2))), 0)</f>
      </c>
      <c r="Z109" s="71" cm="1">
        <f t="array" ref="Z109">IFERROR(_xlfn.FORECAST.LINEAR(RIGHT(Z$6,2), $J109:$U109, VALUE(RIGHT($J$6:$U$6,2))), 0)</f>
      </c>
      <c r="AA109" s="71" cm="1">
        <f t="array" ref="AA109">IFERROR(_xlfn.FORECAST.LINEAR(RIGHT(AA$6,2), $J109:$U109, VALUE(RIGHT($J$6:$U$6,2))), 0)</f>
      </c>
      <c r="AB109" s="71" cm="1">
        <f t="array" ref="AB109">IFERROR(_xlfn.FORECAST.LINEAR(RIGHT(AB$6,2), $J109:$U109, VALUE(RIGHT($J$6:$U$6,2))), 0)</f>
      </c>
      <c r="AC109" s="71" cm="1">
        <f t="array" ref="AC109">IFERROR(_xlfn.FORECAST.LINEAR(RIGHT(AC$6,2), $J109:$U109, VALUE(RIGHT($J$6:$U$6,2))), 0)</f>
      </c>
      <c r="AD109" s="71" cm="1">
        <f t="array" ref="AD109">IFERROR(_xlfn.FORECAST.LINEAR(RIGHT(AD$6,2), $J109:$U109, VALUE(RIGHT($J$6:$U$6,2))), 0)</f>
      </c>
      <c r="AE109" s="71" cm="1">
        <f t="array" ref="AE109">IFERROR(_xlfn.FORECAST.LINEAR(RIGHT(AE$6,2), $J109:$U109, VALUE(RIGHT($J$6:$U$6,2))), 0)</f>
      </c>
      <c r="AF109" s="71" cm="1">
        <f t="array" ref="AF109">IFERROR(_xlfn.FORECAST.LINEAR(RIGHT(AF$6,2), $J109:$U109, VALUE(RIGHT($J$6:$U$6,2))), 0)</f>
      </c>
      <c r="AG109" s="71" cm="1">
        <f t="array" ref="AG109">IFERROR(_xlfn.FORECAST.LINEAR(RIGHT(AG$6,2), $J109:$U109, VALUE(RIGHT($J$6:$U$6,2))), 0)</f>
      </c>
      <c r="AH109" s="71" cm="1">
        <f t="array" ref="AH109">IFERROR(_xlfn.FORECAST.LINEAR(RIGHT(AH$6,2), $J109:$U109, VALUE(RIGHT($J$6:$U$6,2))), 0)</f>
      </c>
    </row>
    <row r="110" spans="3:34" ht="18" x14ac:dyDescent="0.35">
      <c r="C110" s="24" t="s">
        <v>559</v>
      </c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Y110" s="94" cm="1">
        <f t="array" ref="Y110">IFERROR(_xlfn.FORECAST.LINEAR(RIGHT(Y$6,2), $J110:$U110, VALUE(RIGHT($J$6:$U$6,2))), 0)</f>
      </c>
      <c r="Z110" s="94" cm="1">
        <f t="array" ref="Z110">IFERROR(_xlfn.FORECAST.LINEAR(RIGHT(Z$6,2), $J110:$U110, VALUE(RIGHT($J$6:$U$6,2))), 0)</f>
      </c>
      <c r="AA110" s="94" cm="1">
        <f t="array" ref="AA110">IFERROR(_xlfn.FORECAST.LINEAR(RIGHT(AA$6,2), $J110:$U110, VALUE(RIGHT($J$6:$U$6,2))), 0)</f>
      </c>
      <c r="AB110" s="94" cm="1">
        <f t="array" ref="AB110">IFERROR(_xlfn.FORECAST.LINEAR(RIGHT(AB$6,2), $J110:$U110, VALUE(RIGHT($J$6:$U$6,2))), 0)</f>
      </c>
      <c r="AC110" s="94" cm="1">
        <f t="array" ref="AC110">IFERROR(_xlfn.FORECAST.LINEAR(RIGHT(AC$6,2), $J110:$U110, VALUE(RIGHT($J$6:$U$6,2))), 0)</f>
      </c>
      <c r="AD110" s="94" cm="1">
        <f t="array" ref="AD110">IFERROR(_xlfn.FORECAST.LINEAR(RIGHT(AD$6,2), $J110:$U110, VALUE(RIGHT($J$6:$U$6,2))), 0)</f>
      </c>
      <c r="AE110" s="94" cm="1">
        <f t="array" ref="AE110">IFERROR(_xlfn.FORECAST.LINEAR(RIGHT(AE$6,2), $J110:$U110, VALUE(RIGHT($J$6:$U$6,2))), 0)</f>
      </c>
      <c r="AF110" s="94" cm="1">
        <f t="array" ref="AF110">IFERROR(_xlfn.FORECAST.LINEAR(RIGHT(AF$6,2), $J110:$U110, VALUE(RIGHT($J$6:$U$6,2))), 0)</f>
      </c>
      <c r="AG110" s="94" cm="1">
        <f t="array" ref="AG110">IFERROR(_xlfn.FORECAST.LINEAR(RIGHT(AG$6,2), $J110:$U110, VALUE(RIGHT($J$6:$U$6,2))), 0)</f>
      </c>
      <c r="AH110" s="94" cm="1">
        <f t="array" ref="AH110">IFERROR(_xlfn.FORECAST.LINEAR(RIGHT(AH$6,2), $J110:$U110, VALUE(RIGHT($J$6:$U$6,2))), 0)</f>
      </c>
    </row>
    <row r="111" spans="3:34" ht="3" customHeight="1" x14ac:dyDescent="0.3"/>
    <row r="112" spans="3:34" ht="18" x14ac:dyDescent="0.35">
      <c r="C112" s="24" t="s">
        <v>562</v>
      </c>
    </row>
    <row r="113" spans="3:21" x14ac:dyDescent="0.3">
      <c r="C113" s="2" t="s">
        <v>561</v>
      </c>
      <c r="J113" s="214">
        <f>IFERROR(J93/J$110, 0)</f>
      </c>
      <c r="K113" s="214">
        <f t="shared" ref="K113:U113" si="71">IFERROR(K93/K$110, 0)</f>
      </c>
      <c r="L113" s="214">
        <f t="shared" si="71"/>
      </c>
      <c r="M113" s="214">
        <f t="shared" si="71"/>
      </c>
      <c r="N113" s="214">
        <f t="shared" si="71"/>
      </c>
      <c r="O113" s="214">
        <f t="shared" si="71"/>
      </c>
      <c r="P113" s="214">
        <f t="shared" si="71"/>
      </c>
      <c r="Q113" s="214">
        <f t="shared" si="71"/>
      </c>
      <c r="R113" s="214">
        <f t="shared" si="71"/>
      </c>
      <c r="S113" s="214">
        <f t="shared" si="71"/>
      </c>
      <c r="T113" s="214">
        <f t="shared" si="71"/>
      </c>
      <c r="U113" s="214">
        <f t="shared" si="71"/>
      </c>
    </row>
    <row r="114" spans="3:21" x14ac:dyDescent="0.3">
      <c r="D114" t="s">
        <v>560</v>
      </c>
      <c r="J114" s="85">
        <f>IFERROR((J94+J95)/J$110, 0)</f>
      </c>
      <c r="K114" s="85">
        <f t="shared" ref="K114:U114" si="72">IFERROR((K94+K95)/K$110, 0)</f>
      </c>
      <c r="L114" s="85">
        <f t="shared" si="72"/>
      </c>
      <c r="M114" s="85">
        <f t="shared" si="72"/>
      </c>
      <c r="N114" s="85">
        <f t="shared" si="72"/>
      </c>
      <c r="O114" s="85">
        <f t="shared" si="72"/>
      </c>
      <c r="P114" s="85">
        <f t="shared" si="72"/>
      </c>
      <c r="Q114" s="85">
        <f t="shared" si="72"/>
      </c>
      <c r="R114" s="85">
        <f t="shared" si="72"/>
      </c>
      <c r="S114" s="85">
        <f t="shared" si="72"/>
      </c>
      <c r="T114" s="85">
        <f t="shared" si="72"/>
      </c>
      <c r="U114" s="85">
        <f t="shared" si="72"/>
      </c>
    </row>
    <row r="115" spans="3:21" x14ac:dyDescent="0.3">
      <c r="D115" t="s">
        <v>552</v>
      </c>
      <c r="J115" s="85">
        <f>IFERROR(J96/J$110, 0)</f>
      </c>
      <c r="K115" s="85">
        <f t="shared" ref="K115:U115" si="73">IFERROR(K96/K$110, 0)</f>
      </c>
      <c r="L115" s="85">
        <f t="shared" si="73"/>
      </c>
      <c r="M115" s="85">
        <f t="shared" si="73"/>
      </c>
      <c r="N115" s="85">
        <f t="shared" si="73"/>
      </c>
      <c r="O115" s="85">
        <f t="shared" si="73"/>
      </c>
      <c r="P115" s="85">
        <f t="shared" si="73"/>
      </c>
      <c r="Q115" s="85">
        <f t="shared" si="73"/>
      </c>
      <c r="R115" s="85">
        <f t="shared" si="73"/>
      </c>
      <c r="S115" s="85">
        <f t="shared" si="73"/>
      </c>
      <c r="T115" s="85">
        <f t="shared" si="73"/>
      </c>
      <c r="U115" s="85">
        <f t="shared" si="73"/>
      </c>
    </row>
    <row r="116" spans="3:21" x14ac:dyDescent="0.3">
      <c r="D116" t="s">
        <v>546</v>
      </c>
      <c r="J116" s="85">
        <f>IFERROR(J97/J$110, 0)</f>
      </c>
      <c r="K116" s="85">
        <f t="shared" ref="K116:U116" si="74">IFERROR(K97/K$110, 0)</f>
      </c>
      <c r="L116" s="85">
        <f t="shared" si="74"/>
      </c>
      <c r="M116" s="85">
        <f t="shared" si="74"/>
      </c>
      <c r="N116" s="85">
        <f t="shared" si="74"/>
      </c>
      <c r="O116" s="85">
        <f t="shared" si="74"/>
      </c>
      <c r="P116" s="85">
        <f t="shared" si="74"/>
      </c>
      <c r="Q116" s="85">
        <f t="shared" si="74"/>
      </c>
      <c r="R116" s="85">
        <f t="shared" si="74"/>
      </c>
      <c r="S116" s="85">
        <f t="shared" si="74"/>
      </c>
      <c r="T116" s="85">
        <f t="shared" si="74"/>
      </c>
      <c r="U116" s="85">
        <f t="shared" si="74"/>
      </c>
    </row>
    <row r="117" spans="3:21" x14ac:dyDescent="0.3">
      <c r="D117" t="s">
        <v>544</v>
      </c>
      <c r="J117" s="85">
        <f>IFERROR(J99/J$110, 0)</f>
      </c>
      <c r="K117" s="85">
        <f t="shared" ref="K117:U117" si="75">IFERROR(K99/K$110, 0)</f>
      </c>
      <c r="L117" s="85">
        <f t="shared" si="75"/>
      </c>
      <c r="M117" s="85">
        <f t="shared" si="75"/>
      </c>
      <c r="N117" s="85">
        <f t="shared" si="75"/>
      </c>
      <c r="O117" s="85">
        <f t="shared" si="75"/>
      </c>
      <c r="P117" s="85">
        <f t="shared" si="75"/>
      </c>
      <c r="Q117" s="85">
        <f t="shared" si="75"/>
      </c>
      <c r="R117" s="85">
        <f t="shared" si="75"/>
      </c>
      <c r="S117" s="85">
        <f t="shared" si="75"/>
      </c>
      <c r="T117" s="85">
        <f t="shared" si="75"/>
      </c>
      <c r="U117" s="85">
        <f t="shared" si="75"/>
      </c>
    </row>
    <row r="118" spans="3:21" x14ac:dyDescent="0.3">
      <c r="D118" t="s">
        <v>545</v>
      </c>
      <c r="J118" s="85">
        <f>IFERROR(J100/J$110, 0)</f>
      </c>
      <c r="K118" s="85">
        <f t="shared" ref="K118:U118" si="76">IFERROR(K100/K$110, 0)</f>
      </c>
      <c r="L118" s="85">
        <f t="shared" si="76"/>
      </c>
      <c r="M118" s="85">
        <f t="shared" si="76"/>
      </c>
      <c r="N118" s="85">
        <f t="shared" si="76"/>
      </c>
      <c r="O118" s="85">
        <f t="shared" si="76"/>
      </c>
      <c r="P118" s="85">
        <f t="shared" si="76"/>
      </c>
      <c r="Q118" s="85">
        <f t="shared" si="76"/>
      </c>
      <c r="R118" s="85">
        <f t="shared" si="76"/>
      </c>
      <c r="S118" s="85">
        <f t="shared" si="76"/>
      </c>
      <c r="T118" s="85">
        <f t="shared" si="76"/>
      </c>
      <c r="U118" s="85">
        <f t="shared" si="76"/>
      </c>
    </row>
    <row r="119" spans="3:21" x14ac:dyDescent="0.3">
      <c r="C119" s="2" t="s">
        <v>555</v>
      </c>
      <c r="J119" s="214">
        <f>IFERROR(J102/J$110, 0)</f>
      </c>
      <c r="K119" s="214">
        <f t="shared" ref="K119:U119" si="77">IFERROR(K102/K$110, 0)</f>
      </c>
      <c r="L119" s="214">
        <f t="shared" si="77"/>
      </c>
      <c r="M119" s="214">
        <f t="shared" si="77"/>
      </c>
      <c r="N119" s="214">
        <f t="shared" si="77"/>
      </c>
      <c r="O119" s="214">
        <f t="shared" si="77"/>
      </c>
      <c r="P119" s="214">
        <f t="shared" si="77"/>
      </c>
      <c r="Q119" s="214">
        <f t="shared" si="77"/>
      </c>
      <c r="R119" s="214">
        <f t="shared" si="77"/>
      </c>
      <c r="S119" s="214">
        <f t="shared" si="77"/>
      </c>
      <c r="T119" s="214">
        <f t="shared" si="77"/>
      </c>
      <c r="U119" s="214">
        <f t="shared" si="77"/>
      </c>
    </row>
    <row r="120" spans="3:21" x14ac:dyDescent="0.3">
      <c r="C120" s="2" t="s">
        <v>567</v>
      </c>
      <c r="J120" s="214">
        <f>IFERROR(J103/J$110, 0)</f>
      </c>
      <c r="K120" s="214">
        <f t="shared" ref="K120:U120" si="78">IFERROR(K103/K$110, 0)</f>
      </c>
      <c r="L120" s="214">
        <f t="shared" si="78"/>
      </c>
      <c r="M120" s="214">
        <f t="shared" si="78"/>
      </c>
      <c r="N120" s="214">
        <f t="shared" si="78"/>
      </c>
      <c r="O120" s="214">
        <f t="shared" si="78"/>
      </c>
      <c r="P120" s="214">
        <f t="shared" si="78"/>
      </c>
      <c r="Q120" s="214">
        <f t="shared" si="78"/>
      </c>
      <c r="R120" s="214">
        <f t="shared" si="78"/>
      </c>
      <c r="S120" s="214">
        <f t="shared" si="78"/>
      </c>
      <c r="T120" s="214">
        <f t="shared" si="78"/>
      </c>
      <c r="U120" s="214">
        <f t="shared" si="78"/>
      </c>
    </row>
    <row r="121" spans="3:21" ht="3" customHeight="1" x14ac:dyDescent="0.3"/>
    <row r="122" spans="3:21" ht="18" x14ac:dyDescent="0.35">
      <c r="C122" s="24" t="s">
        <v>105</v>
      </c>
    </row>
    <row r="123" spans="3:21" x14ac:dyDescent="0.3">
      <c r="C123" s="2" t="s">
        <v>561</v>
      </c>
      <c r="J123" s="214"/>
      <c r="K123" s="214">
        <f>IFERROR(K93/J93-1, 0)</f>
      </c>
      <c r="L123" s="214">
        <f t="shared" ref="L123:U123" si="79">IFERROR(L93/K93-1, 0)</f>
      </c>
      <c r="M123" s="214">
        <f t="shared" si="79"/>
      </c>
      <c r="N123" s="214">
        <f t="shared" si="79"/>
      </c>
      <c r="O123" s="214">
        <f t="shared" si="79"/>
      </c>
      <c r="P123" s="214">
        <f t="shared" si="79"/>
      </c>
      <c r="Q123" s="214">
        <f t="shared" si="79"/>
      </c>
      <c r="R123" s="214">
        <f t="shared" si="79"/>
      </c>
      <c r="S123" s="214">
        <f t="shared" si="79"/>
      </c>
      <c r="T123" s="214">
        <f t="shared" si="79"/>
      </c>
      <c r="U123" s="214">
        <f t="shared" si="79"/>
      </c>
    </row>
    <row r="124" spans="3:21" x14ac:dyDescent="0.3">
      <c r="D124" t="s">
        <v>560</v>
      </c>
      <c r="J124" s="85"/>
      <c r="K124" s="85">
        <f t="shared" ref="K124:U124" si="80">IFERROR(K94/J94-1, 0)</f>
      </c>
      <c r="L124" s="85">
        <f t="shared" si="80"/>
      </c>
      <c r="M124" s="85">
        <f t="shared" si="80"/>
      </c>
      <c r="N124" s="85">
        <f t="shared" si="80"/>
      </c>
      <c r="O124" s="85">
        <f t="shared" si="80"/>
      </c>
      <c r="P124" s="85">
        <f t="shared" si="80"/>
      </c>
      <c r="Q124" s="85">
        <f t="shared" si="80"/>
      </c>
      <c r="R124" s="85">
        <f t="shared" si="80"/>
      </c>
      <c r="S124" s="85">
        <f t="shared" si="80"/>
      </c>
      <c r="T124" s="85">
        <f t="shared" si="80"/>
      </c>
      <c r="U124" s="85">
        <f t="shared" si="80"/>
      </c>
    </row>
    <row r="125" spans="3:21" x14ac:dyDescent="0.3">
      <c r="C125" s="2" t="s">
        <v>555</v>
      </c>
      <c r="J125" s="214"/>
      <c r="K125" s="214">
        <f>IFERROR(K102/J102-1, 0)</f>
      </c>
      <c r="L125" s="214">
        <f t="shared" ref="L125:U125" si="81">IFERROR(L102/K102-1, 0)</f>
      </c>
      <c r="M125" s="214">
        <f t="shared" si="81"/>
      </c>
      <c r="N125" s="214">
        <f t="shared" si="81"/>
      </c>
      <c r="O125" s="214">
        <f t="shared" si="81"/>
      </c>
      <c r="P125" s="214">
        <f t="shared" si="81"/>
      </c>
      <c r="Q125" s="214">
        <f t="shared" si="81"/>
      </c>
      <c r="R125" s="214">
        <f t="shared" si="81"/>
      </c>
      <c r="S125" s="214">
        <f t="shared" si="81"/>
      </c>
      <c r="T125" s="214">
        <f t="shared" si="81"/>
      </c>
      <c r="U125" s="214">
        <f t="shared" si="81"/>
      </c>
    </row>
    <row r="126" spans="3:21" x14ac:dyDescent="0.3">
      <c r="C126" s="2" t="s">
        <v>567</v>
      </c>
      <c r="J126" s="214"/>
      <c r="K126" s="214">
        <f>IFERROR(K103/J103-1, 0)</f>
      </c>
      <c r="L126" s="214">
        <f t="shared" ref="L126:U126" si="82">IFERROR(L103/K103-1, 0)</f>
      </c>
      <c r="M126" s="214">
        <f t="shared" si="82"/>
      </c>
      <c r="N126" s="214">
        <f t="shared" si="82"/>
      </c>
      <c r="O126" s="214">
        <f t="shared" si="82"/>
      </c>
      <c r="P126" s="214">
        <f t="shared" si="82"/>
      </c>
      <c r="Q126" s="214">
        <f t="shared" si="82"/>
      </c>
      <c r="R126" s="214">
        <f t="shared" si="82"/>
      </c>
      <c r="S126" s="214">
        <f t="shared" si="82"/>
      </c>
      <c r="T126" s="214">
        <f t="shared" si="82"/>
      </c>
      <c r="U126" s="214">
        <f t="shared" si="82"/>
      </c>
    </row>
    <row r="127" spans="3:21" x14ac:dyDescent="0.3"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</row>
    <row r="129" spans="2:34" x14ac:dyDescent="0.3">
      <c r="U129" s="227" t="str">
        <f>$U$2</f>
      </c>
    </row>
    <row r="130" spans="2:34" ht="18" x14ac:dyDescent="0.35">
      <c r="B130" s="148" t="str">
        <f>'Assumptions&amp;Scenario'!$K$10</f>
      </c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</row>
    <row r="131" spans="2:34" ht="18" thickBot="1" x14ac:dyDescent="0.35">
      <c r="B131" s="47" t="s">
        <v>565</v>
      </c>
      <c r="C131" s="48"/>
      <c r="D131" s="48"/>
      <c r="E131" s="48"/>
      <c r="F131" s="48"/>
      <c r="G131" s="48"/>
      <c r="H131" s="49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Y131" s="47" t="s">
        <v>566</v>
      </c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 spans="2:34" x14ac:dyDescent="0.3">
      <c r="C132" s="2"/>
      <c r="D132" s="2"/>
      <c r="E132" s="2"/>
      <c r="F132" s="2"/>
      <c r="J132" s="40">
        <v>1</v>
      </c>
      <c r="K132" s="40">
        <v>2</v>
      </c>
      <c r="L132" s="89">
        <v>3</v>
      </c>
      <c r="M132" s="89">
        <v>4</v>
      </c>
      <c r="N132" s="89">
        <v>5</v>
      </c>
      <c r="O132" s="89">
        <v>6</v>
      </c>
      <c r="P132" s="89">
        <v>7</v>
      </c>
      <c r="Q132" s="89">
        <v>8</v>
      </c>
      <c r="R132" s="89">
        <v>9</v>
      </c>
      <c r="S132" s="89">
        <v>10</v>
      </c>
      <c r="T132" s="89">
        <v>11</v>
      </c>
      <c r="U132" s="89">
        <v>12</v>
      </c>
      <c r="V132" s="40"/>
      <c r="W132" s="40"/>
      <c r="X132" s="40"/>
      <c r="Y132" s="89">
        <v>13</v>
      </c>
      <c r="Z132" s="89">
        <v>14</v>
      </c>
      <c r="AA132" s="89">
        <v>15</v>
      </c>
      <c r="AB132" s="89">
        <v>16</v>
      </c>
      <c r="AC132" s="89">
        <v>17</v>
      </c>
      <c r="AD132" s="89">
        <v>18</v>
      </c>
      <c r="AE132" s="89">
        <v>19</v>
      </c>
      <c r="AF132" s="89">
        <v>20</v>
      </c>
      <c r="AG132" s="89">
        <v>21</v>
      </c>
      <c r="AH132" s="89">
        <v>22</v>
      </c>
    </row>
    <row r="133" spans="2:34" ht="15.6" x14ac:dyDescent="0.3">
      <c r="C133" s="43" t="s">
        <v>25</v>
      </c>
      <c r="D133" s="43"/>
      <c r="E133" s="43"/>
      <c r="F133" s="43"/>
      <c r="G133" s="43"/>
      <c r="H133" s="44"/>
      <c r="I133" s="44"/>
      <c r="J133" s="44" t="str">
        <f t="shared" ref="J133:S133" si="83">"FY"&amp;TEXT(MID(K133,3,2)-IF(RIGHT(K133,1)="1",1,0),"00")&amp;"Q"&amp;CHOOSE(RIGHT(K133,1)+0,4,1,2,3)</f>
      </c>
      <c r="K133" s="44" t="str">
        <f t="shared" si="83"/>
      </c>
      <c r="L133" s="79" t="str">
        <f t="shared" si="83"/>
      </c>
      <c r="M133" s="79" t="str">
        <f t="shared" si="83"/>
      </c>
      <c r="N133" s="79" t="str">
        <f t="shared" si="83"/>
      </c>
      <c r="O133" s="79" t="str">
        <f t="shared" si="83"/>
      </c>
      <c r="P133" s="79" t="str">
        <f t="shared" si="83"/>
      </c>
      <c r="Q133" s="79" t="str">
        <f t="shared" si="83"/>
      </c>
      <c r="R133" s="79" t="str">
        <f t="shared" si="83"/>
      </c>
      <c r="S133" s="79" t="str">
        <f t="shared" si="83"/>
      </c>
      <c r="T133" s="79" t="str">
        <f>"FY"&amp;TEXT(MID(U133,3,2)-IF(RIGHT(U133,1)="1",1,0),"00")&amp;"Q"&amp;CHOOSE(RIGHT(U133,1)+0,4,1,2,3)</f>
      </c>
      <c r="U133" s="79" t="str">
        <f>"FY"&amp;TEXT(YEAR('Data Sheet'!$K$41)+(MONTH('Data Sheet'!$K$41)&gt;3)-2000,"00")&amp;"Q"&amp;INT((MOD(MONTH('Data Sheet'!$K$41)-4,12))/3)+1</f>
      </c>
      <c r="Y133" s="44" t="str">
        <f>Model!$N$31</f>
      </c>
      <c r="Z133" s="44" t="str">
        <f t="shared" ref="Z133:AH133" si="84">"FY"&amp;TEXT(MID(Y133,3,2)+IF(RIGHT(Y133,1)="4",1,0),"00")&amp;"Q"&amp;MOD(RIGHT(Y133,1),4)+1</f>
      </c>
      <c r="AA133" s="44" t="str">
        <f t="shared" si="84"/>
      </c>
      <c r="AB133" s="44" t="str">
        <f t="shared" si="84"/>
      </c>
      <c r="AC133" s="44" t="str">
        <f t="shared" si="84"/>
      </c>
      <c r="AD133" s="44" t="str">
        <f t="shared" si="84"/>
      </c>
      <c r="AE133" s="44" t="str">
        <f t="shared" si="84"/>
      </c>
      <c r="AF133" s="44" t="str">
        <f t="shared" si="84"/>
      </c>
      <c r="AG133" s="44" t="str">
        <f t="shared" si="84"/>
      </c>
      <c r="AH133" s="44" t="str">
        <f t="shared" si="84"/>
      </c>
    </row>
    <row r="134" spans="2:34" ht="3" customHeight="1" x14ac:dyDescent="0.3"/>
    <row r="135" spans="2:34" ht="3" customHeight="1" x14ac:dyDescent="0.3"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2:34" ht="3" customHeight="1" x14ac:dyDescent="0.3"/>
    <row r="137" spans="2:34" x14ac:dyDescent="0.3">
      <c r="C137" t="s">
        <v>504</v>
      </c>
      <c r="H137" s="77" t="str">
        <f>$H$10</f>
      </c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Y137" s="71">
        <f>IFERROR(_xlfn.FORECAST.LINEAR(Y$132, $J137:$U137, $J$132:$U$132), 0)</f>
      </c>
      <c r="Z137" s="71">
        <f t="shared" ref="Z137:AH138" si="85">IFERROR(_xlfn.FORECAST.LINEAR(Z$132, $J137:$U137, $J$132:$U$132), 0)</f>
      </c>
      <c r="AA137" s="71">
        <f t="shared" si="85"/>
      </c>
      <c r="AB137" s="71">
        <f t="shared" si="85"/>
      </c>
      <c r="AC137" s="71">
        <f t="shared" si="85"/>
      </c>
      <c r="AD137" s="71">
        <f t="shared" si="85"/>
      </c>
      <c r="AE137" s="71">
        <f t="shared" si="85"/>
      </c>
      <c r="AF137" s="71">
        <f t="shared" si="85"/>
      </c>
      <c r="AG137" s="71">
        <f t="shared" si="85"/>
      </c>
      <c r="AH137" s="71">
        <f t="shared" si="85"/>
      </c>
    </row>
    <row r="138" spans="2:34" x14ac:dyDescent="0.3">
      <c r="C138" t="s">
        <v>96</v>
      </c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Y138" s="71">
        <f t="shared" ref="Y138:AH139" si="86">IFERROR(_xlfn.FORECAST.LINEAR(Y$132, $J138:$U138, $J$132:$U$132), 0)</f>
      </c>
      <c r="Z138" s="71">
        <f t="shared" si="85"/>
      </c>
      <c r="AA138" s="71">
        <f t="shared" si="85"/>
      </c>
      <c r="AB138" s="71">
        <f t="shared" si="85"/>
      </c>
      <c r="AC138" s="71">
        <f t="shared" si="85"/>
      </c>
      <c r="AD138" s="71">
        <f t="shared" si="85"/>
      </c>
      <c r="AE138" s="71">
        <f t="shared" si="85"/>
      </c>
      <c r="AF138" s="71">
        <f t="shared" si="85"/>
      </c>
      <c r="AG138" s="71">
        <f t="shared" si="85"/>
      </c>
      <c r="AH138" s="71">
        <f t="shared" si="85"/>
      </c>
    </row>
    <row r="139" spans="2:34" ht="18" x14ac:dyDescent="0.35">
      <c r="C139" s="24" t="s">
        <v>505</v>
      </c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Y139" s="90">
        <f t="shared" si="86"/>
      </c>
      <c r="Z139" s="90">
        <f t="shared" si="86"/>
      </c>
      <c r="AA139" s="90">
        <f t="shared" si="86"/>
      </c>
      <c r="AB139" s="90">
        <f t="shared" si="86"/>
      </c>
      <c r="AC139" s="90">
        <f t="shared" si="86"/>
      </c>
      <c r="AD139" s="90">
        <f t="shared" si="86"/>
      </c>
      <c r="AE139" s="90">
        <f t="shared" si="86"/>
      </c>
      <c r="AF139" s="90">
        <f t="shared" si="86"/>
      </c>
      <c r="AG139" s="90">
        <f t="shared" si="86"/>
      </c>
      <c r="AH139" s="90">
        <f t="shared" si="86"/>
      </c>
    </row>
    <row r="140" spans="2:34" ht="3" customHeight="1" x14ac:dyDescent="0.3"/>
    <row r="141" spans="2:34" ht="3" customHeight="1" x14ac:dyDescent="0.3"/>
    <row r="142" spans="2:34" ht="18" x14ac:dyDescent="0.35">
      <c r="C142" s="24" t="s">
        <v>510</v>
      </c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Y142" s="214">
        <f t="shared" ref="Y142:AH142" si="87">IFERROR(_xlfn.FORECAST.LINEAR(Y$132, $J142:$U142, $J$132:$U$132), 0)</f>
      </c>
      <c r="Z142" s="214">
        <f t="shared" si="87"/>
      </c>
      <c r="AA142" s="214">
        <f t="shared" si="87"/>
      </c>
      <c r="AB142" s="214">
        <f t="shared" si="87"/>
      </c>
      <c r="AC142" s="214">
        <f t="shared" si="87"/>
      </c>
      <c r="AD142" s="214">
        <f t="shared" si="87"/>
      </c>
      <c r="AE142" s="214">
        <f t="shared" si="87"/>
      </c>
      <c r="AF142" s="214">
        <f t="shared" si="87"/>
      </c>
      <c r="AG142" s="214">
        <f t="shared" si="87"/>
      </c>
      <c r="AH142" s="214">
        <f t="shared" si="87"/>
      </c>
    </row>
    <row r="143" spans="2:34" ht="3" customHeight="1" x14ac:dyDescent="0.3"/>
    <row r="144" spans="2:34" x14ac:dyDescent="0.3">
      <c r="C144" t="s">
        <v>4</v>
      </c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Y144" s="71">
        <f t="shared" ref="Y144:AH145" si="88">IFERROR(_xlfn.FORECAST.LINEAR(Y$132, $J144:$U144, $J$132:$U$132), 0)</f>
      </c>
      <c r="Z144" s="71">
        <f t="shared" si="88"/>
      </c>
      <c r="AA144" s="71">
        <f t="shared" si="88"/>
      </c>
      <c r="AB144" s="71">
        <f t="shared" si="88"/>
      </c>
      <c r="AC144" s="71">
        <f t="shared" si="88"/>
      </c>
      <c r="AD144" s="71">
        <f t="shared" si="88"/>
      </c>
      <c r="AE144" s="71">
        <f t="shared" si="88"/>
      </c>
      <c r="AF144" s="71">
        <f t="shared" si="88"/>
      </c>
      <c r="AG144" s="71">
        <f t="shared" si="88"/>
      </c>
      <c r="AH144" s="71">
        <f t="shared" si="88"/>
      </c>
    </row>
    <row r="145" spans="3:34" ht="18" x14ac:dyDescent="0.35">
      <c r="C145" s="24" t="s">
        <v>511</v>
      </c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Y145" s="90">
        <f t="shared" si="88"/>
      </c>
      <c r="Z145" s="90">
        <f t="shared" si="88"/>
      </c>
      <c r="AA145" s="90">
        <f t="shared" si="88"/>
      </c>
      <c r="AB145" s="90">
        <f t="shared" si="88"/>
      </c>
      <c r="AC145" s="90">
        <f t="shared" si="88"/>
      </c>
      <c r="AD145" s="90">
        <f t="shared" si="88"/>
      </c>
      <c r="AE145" s="90">
        <f t="shared" si="88"/>
      </c>
      <c r="AF145" s="90">
        <f t="shared" si="88"/>
      </c>
      <c r="AG145" s="90">
        <f t="shared" si="88"/>
      </c>
      <c r="AH145" s="90">
        <f t="shared" si="88"/>
      </c>
    </row>
    <row r="146" spans="3:34" ht="3" customHeight="1" x14ac:dyDescent="0.3"/>
    <row r="147" spans="3:34" ht="18" x14ac:dyDescent="0.35">
      <c r="C147" s="24" t="s">
        <v>512</v>
      </c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Y147" s="90">
        <f t="shared" ref="Y147:AH147" si="89">IFERROR(_xlfn.FORECAST.LINEAR(Y$132, $J147:$U147, $J$132:$U$132), 0)</f>
      </c>
      <c r="Z147" s="90">
        <f t="shared" si="89"/>
      </c>
      <c r="AA147" s="90">
        <f t="shared" si="89"/>
      </c>
      <c r="AB147" s="90">
        <f t="shared" si="89"/>
      </c>
      <c r="AC147" s="90">
        <f t="shared" si="89"/>
      </c>
      <c r="AD147" s="90">
        <f t="shared" si="89"/>
      </c>
      <c r="AE147" s="90">
        <f t="shared" si="89"/>
      </c>
      <c r="AF147" s="90">
        <f t="shared" si="89"/>
      </c>
      <c r="AG147" s="90">
        <f t="shared" si="89"/>
      </c>
      <c r="AH147" s="90">
        <f t="shared" si="89"/>
      </c>
    </row>
    <row r="148" spans="3:34" ht="3" customHeight="1" x14ac:dyDescent="0.3"/>
    <row r="149" spans="3:34" ht="18" x14ac:dyDescent="0.35">
      <c r="C149" s="24" t="s">
        <v>513</v>
      </c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Y149" s="90">
        <f t="shared" ref="Y149:AH149" si="90">IFERROR(_xlfn.FORECAST.LINEAR(Y$132, $J149:$U149, $J$132:$U$132), 0)</f>
      </c>
      <c r="Z149" s="90">
        <f t="shared" si="90"/>
      </c>
      <c r="AA149" s="90">
        <f t="shared" si="90"/>
      </c>
      <c r="AB149" s="90">
        <f t="shared" si="90"/>
      </c>
      <c r="AC149" s="90">
        <f t="shared" si="90"/>
      </c>
      <c r="AD149" s="90">
        <f t="shared" si="90"/>
      </c>
      <c r="AE149" s="90">
        <f t="shared" si="90"/>
      </c>
      <c r="AF149" s="90">
        <f t="shared" si="90"/>
      </c>
      <c r="AG149" s="90">
        <f t="shared" si="90"/>
      </c>
      <c r="AH149" s="90">
        <f t="shared" si="90"/>
      </c>
    </row>
    <row r="150" spans="3:34" ht="3" customHeight="1" x14ac:dyDescent="0.3"/>
    <row r="151" spans="3:34" x14ac:dyDescent="0.3">
      <c r="C151" s="2" t="s">
        <v>514</v>
      </c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 spans="3:34" ht="3" customHeight="1" x14ac:dyDescent="0.3"/>
    <row r="153" spans="3:34" x14ac:dyDescent="0.3">
      <c r="C153" t="s">
        <v>8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 spans="3:34" ht="18.600000000000001" thickBot="1" x14ac:dyDescent="0.4">
      <c r="C154" s="24" t="s">
        <v>515</v>
      </c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Y154" s="90">
        <f t="shared" ref="Y154:AH154" si="91">IFERROR(_xlfn.FORECAST.LINEAR(Y$132, $J154:$U154, $J$132:$U$132), 0)</f>
      </c>
      <c r="Z154" s="90">
        <f t="shared" si="91"/>
      </c>
      <c r="AA154" s="90">
        <f t="shared" si="91"/>
      </c>
      <c r="AB154" s="90">
        <f t="shared" si="91"/>
      </c>
      <c r="AC154" s="90">
        <f t="shared" si="91"/>
      </c>
      <c r="AD154" s="90">
        <f t="shared" si="91"/>
      </c>
      <c r="AE154" s="90">
        <f t="shared" si="91"/>
      </c>
      <c r="AF154" s="90">
        <f t="shared" si="91"/>
      </c>
      <c r="AG154" s="90">
        <f t="shared" si="91"/>
      </c>
      <c r="AH154" s="90">
        <f t="shared" si="91"/>
      </c>
    </row>
    <row r="155" spans="3:34" ht="3" customHeight="1" thickTop="1" x14ac:dyDescent="0.3"/>
    <row r="156" spans="3:34" x14ac:dyDescent="0.3">
      <c r="C156" s="2" t="s">
        <v>516</v>
      </c>
    </row>
    <row r="157" spans="3:34" x14ac:dyDescent="0.3">
      <c r="D157" t="str">
        <f t="shared" ref="D157:D163" si="92">D30</f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Y157" s="71">
        <f t="shared" ref="Y157:AH162" si="93">IFERROR(_xlfn.FORECAST.LINEAR(Y$132, $J157:$U157, $J$132:$U$132), 0)</f>
      </c>
      <c r="Z157" s="71">
        <f t="shared" si="93"/>
      </c>
      <c r="AA157" s="71">
        <f t="shared" si="93"/>
      </c>
      <c r="AB157" s="71">
        <f t="shared" si="93"/>
      </c>
      <c r="AC157" s="71">
        <f t="shared" si="93"/>
      </c>
      <c r="AD157" s="71">
        <f t="shared" si="93"/>
      </c>
      <c r="AE157" s="71">
        <f t="shared" si="93"/>
      </c>
      <c r="AF157" s="71">
        <f t="shared" si="93"/>
      </c>
      <c r="AG157" s="71">
        <f t="shared" si="93"/>
      </c>
      <c r="AH157" s="71">
        <f t="shared" si="93"/>
      </c>
    </row>
    <row r="158" spans="3:34" x14ac:dyDescent="0.3">
      <c r="D158" t="str">
        <f t="shared" si="92"/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Y158" s="71">
        <f t="shared" si="93"/>
      </c>
      <c r="Z158" s="71">
        <f t="shared" si="93"/>
      </c>
      <c r="AA158" s="71">
        <f t="shared" si="93"/>
      </c>
      <c r="AB158" s="71">
        <f t="shared" si="93"/>
      </c>
      <c r="AC158" s="71">
        <f t="shared" si="93"/>
      </c>
      <c r="AD158" s="71">
        <f t="shared" si="93"/>
      </c>
      <c r="AE158" s="71">
        <f t="shared" si="93"/>
      </c>
      <c r="AF158" s="71">
        <f t="shared" si="93"/>
      </c>
      <c r="AG158" s="71">
        <f t="shared" si="93"/>
      </c>
      <c r="AH158" s="71">
        <f t="shared" si="93"/>
      </c>
    </row>
    <row r="159" spans="3:34" x14ac:dyDescent="0.3">
      <c r="D159" t="str">
        <f t="shared" si="92"/>
      </c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Y159" s="71">
        <f t="shared" si="93"/>
      </c>
      <c r="Z159" s="71">
        <f t="shared" si="93"/>
      </c>
      <c r="AA159" s="71">
        <f t="shared" si="93"/>
      </c>
      <c r="AB159" s="71">
        <f t="shared" si="93"/>
      </c>
      <c r="AC159" s="71">
        <f t="shared" si="93"/>
      </c>
      <c r="AD159" s="71">
        <f t="shared" si="93"/>
      </c>
      <c r="AE159" s="71">
        <f t="shared" si="93"/>
      </c>
      <c r="AF159" s="71">
        <f t="shared" si="93"/>
      </c>
      <c r="AG159" s="71">
        <f t="shared" si="93"/>
      </c>
      <c r="AH159" s="71">
        <f t="shared" si="93"/>
      </c>
    </row>
    <row r="160" spans="3:34" x14ac:dyDescent="0.3">
      <c r="D160" t="str">
        <f t="shared" si="92"/>
      </c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Y160" s="71">
        <f t="shared" si="93"/>
      </c>
      <c r="Z160" s="71">
        <f t="shared" si="93"/>
      </c>
      <c r="AA160" s="71">
        <f t="shared" si="93"/>
      </c>
      <c r="AB160" s="71">
        <f t="shared" si="93"/>
      </c>
      <c r="AC160" s="71">
        <f t="shared" si="93"/>
      </c>
      <c r="AD160" s="71">
        <f t="shared" si="93"/>
      </c>
      <c r="AE160" s="71">
        <f t="shared" si="93"/>
      </c>
      <c r="AF160" s="71">
        <f t="shared" si="93"/>
      </c>
      <c r="AG160" s="71">
        <f t="shared" si="93"/>
      </c>
      <c r="AH160" s="71">
        <f t="shared" si="93"/>
      </c>
    </row>
    <row r="161" spans="3:34" x14ac:dyDescent="0.3">
      <c r="D161" t="str">
        <f t="shared" si="92"/>
      </c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Y161" s="71">
        <f t="shared" si="93"/>
      </c>
      <c r="Z161" s="71">
        <f t="shared" si="93"/>
      </c>
      <c r="AA161" s="71">
        <f t="shared" si="93"/>
      </c>
      <c r="AB161" s="71">
        <f t="shared" si="93"/>
      </c>
      <c r="AC161" s="71">
        <f t="shared" si="93"/>
      </c>
      <c r="AD161" s="71">
        <f t="shared" si="93"/>
      </c>
      <c r="AE161" s="71">
        <f t="shared" si="93"/>
      </c>
      <c r="AF161" s="71">
        <f t="shared" si="93"/>
      </c>
      <c r="AG161" s="71">
        <f t="shared" si="93"/>
      </c>
      <c r="AH161" s="71">
        <f t="shared" si="93"/>
      </c>
    </row>
    <row r="162" spans="3:34" x14ac:dyDescent="0.3">
      <c r="D162" t="str">
        <f t="shared" si="92"/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Y162" s="71">
        <f t="shared" si="93"/>
      </c>
      <c r="Z162" s="71">
        <f t="shared" si="93"/>
      </c>
      <c r="AA162" s="71">
        <f t="shared" si="93"/>
      </c>
      <c r="AB162" s="71">
        <f t="shared" si="93"/>
      </c>
      <c r="AC162" s="71">
        <f t="shared" si="93"/>
      </c>
      <c r="AD162" s="71">
        <f t="shared" si="93"/>
      </c>
      <c r="AE162" s="71">
        <f t="shared" si="93"/>
      </c>
      <c r="AF162" s="71">
        <f t="shared" si="93"/>
      </c>
      <c r="AG162" s="71">
        <f t="shared" si="93"/>
      </c>
      <c r="AH162" s="71">
        <f t="shared" si="93"/>
      </c>
    </row>
    <row r="163" spans="3:34" ht="3" customHeight="1" x14ac:dyDescent="0.3">
      <c r="D163">
        <f t="shared" si="92"/>
      </c>
    </row>
    <row r="164" spans="3:34" ht="18.600000000000001" thickBot="1" x14ac:dyDescent="0.4">
      <c r="C164" s="24" t="s">
        <v>523</v>
      </c>
      <c r="J164" s="220"/>
      <c r="K164" s="220"/>
      <c r="L164" s="220">
        <f>'Data Sheet'!B49</f>
      </c>
      <c r="M164" s="220">
        <f>'Data Sheet'!C49</f>
      </c>
      <c r="N164" s="220">
        <f>'Data Sheet'!D49</f>
      </c>
      <c r="O164" s="220">
        <f>'Data Sheet'!E49</f>
      </c>
      <c r="P164" s="220">
        <f>'Data Sheet'!F49</f>
      </c>
      <c r="Q164" s="220">
        <f>'Data Sheet'!G49</f>
      </c>
      <c r="R164" s="220">
        <f>'Data Sheet'!H49</f>
      </c>
      <c r="S164" s="220">
        <f>'Data Sheet'!I49</f>
      </c>
      <c r="T164" s="220">
        <f>'Data Sheet'!J49</f>
      </c>
      <c r="U164" s="220">
        <f>'Data Sheet'!K49</f>
      </c>
      <c r="Y164" s="90">
        <f t="shared" ref="Y164:AH164" si="94">IFERROR(_xlfn.FORECAST.LINEAR(Y$132, $J164:$U164, $J$132:$U$132), 0)</f>
      </c>
      <c r="Z164" s="90">
        <f t="shared" si="94"/>
      </c>
      <c r="AA164" s="90">
        <f t="shared" si="94"/>
      </c>
      <c r="AB164" s="90">
        <f t="shared" si="94"/>
      </c>
      <c r="AC164" s="90">
        <f t="shared" si="94"/>
      </c>
      <c r="AD164" s="90">
        <f t="shared" si="94"/>
      </c>
      <c r="AE164" s="90">
        <f t="shared" si="94"/>
      </c>
      <c r="AF164" s="90">
        <f t="shared" si="94"/>
      </c>
      <c r="AG164" s="90">
        <f t="shared" si="94"/>
      </c>
      <c r="AH164" s="90">
        <f t="shared" si="94"/>
      </c>
    </row>
    <row r="165" spans="3:34" ht="15" thickTop="1" x14ac:dyDescent="0.3"/>
    <row r="166" spans="3:34" x14ac:dyDescent="0.3">
      <c r="C166" s="2" t="s">
        <v>240</v>
      </c>
      <c r="H166" s="77" t="str">
        <f>H39</f>
      </c>
      <c r="J166" s="56"/>
      <c r="K166" s="56"/>
      <c r="L166" s="56">
        <f>IFERROR(HLOOKUP(LEFT(L133, 4), $L$6:$U$39, ROWS($U$6:$U$39), FALSE), $U39)</f>
      </c>
      <c r="M166" s="56">
        <f t="shared" ref="M166:U166" si="95">IFERROR(HLOOKUP(LEFT(M133, 4), $L$6:$U$39, ROWS($U$6:$U$39), FALSE), $U39)</f>
      </c>
      <c r="N166" s="56">
        <f t="shared" si="95"/>
      </c>
      <c r="O166" s="56">
        <f t="shared" si="95"/>
      </c>
      <c r="P166" s="56">
        <f t="shared" si="95"/>
      </c>
      <c r="Q166" s="56">
        <f t="shared" si="95"/>
      </c>
      <c r="R166" s="56">
        <f t="shared" si="95"/>
      </c>
      <c r="S166" s="56">
        <f t="shared" si="95"/>
      </c>
      <c r="T166" s="56">
        <f t="shared" si="95"/>
      </c>
      <c r="U166" s="56">
        <f t="shared" si="95"/>
      </c>
      <c r="Y166" s="40">
        <f>$U166</f>
      </c>
      <c r="Z166" s="40">
        <f t="shared" ref="Z166:AH166" si="96">$U166</f>
      </c>
      <c r="AA166" s="40">
        <f t="shared" si="96"/>
      </c>
      <c r="AB166" s="40">
        <f t="shared" si="96"/>
      </c>
      <c r="AC166" s="40">
        <f t="shared" si="96"/>
      </c>
      <c r="AD166" s="40">
        <f t="shared" si="96"/>
      </c>
      <c r="AE166" s="40">
        <f t="shared" si="96"/>
      </c>
      <c r="AF166" s="40">
        <f t="shared" si="96"/>
      </c>
      <c r="AG166" s="40">
        <f t="shared" si="96"/>
      </c>
      <c r="AH166" s="40">
        <f t="shared" si="96"/>
      </c>
    </row>
    <row r="167" spans="3:34" x14ac:dyDescent="0.3">
      <c r="C167" s="2" t="s">
        <v>368</v>
      </c>
      <c r="H167" s="77" t="str">
        <f>H40</f>
      </c>
      <c r="J167" s="56">
        <f t="shared" ref="J167:T167" si="97">IFERROR(J164/J166, 0)</f>
      </c>
      <c r="K167" s="56">
        <f t="shared" si="97"/>
      </c>
      <c r="L167" s="56">
        <f t="shared" si="97"/>
      </c>
      <c r="M167" s="56">
        <f t="shared" si="97"/>
      </c>
      <c r="N167" s="56">
        <f t="shared" si="97"/>
      </c>
      <c r="O167" s="56">
        <f t="shared" si="97"/>
      </c>
      <c r="P167" s="56">
        <f t="shared" si="97"/>
      </c>
      <c r="Q167" s="56">
        <f t="shared" si="97"/>
      </c>
      <c r="R167" s="56">
        <f t="shared" si="97"/>
      </c>
      <c r="S167" s="56">
        <f t="shared" si="97"/>
      </c>
      <c r="T167" s="56">
        <f t="shared" si="97"/>
      </c>
      <c r="U167" s="56">
        <f>IFERROR(U164/U166, 0)</f>
      </c>
      <c r="Y167" s="40">
        <f t="shared" ref="Y167:AH167" si="98">IFERROR(Y164/Y166, 0)</f>
      </c>
      <c r="Z167" s="40">
        <f t="shared" si="98"/>
      </c>
      <c r="AA167" s="40">
        <f t="shared" si="98"/>
      </c>
      <c r="AB167" s="40">
        <f t="shared" si="98"/>
      </c>
      <c r="AC167" s="40">
        <f t="shared" si="98"/>
      </c>
      <c r="AD167" s="40">
        <f t="shared" si="98"/>
      </c>
      <c r="AE167" s="40">
        <f t="shared" si="98"/>
      </c>
      <c r="AF167" s="40">
        <f t="shared" si="98"/>
      </c>
      <c r="AG167" s="40">
        <f t="shared" si="98"/>
      </c>
      <c r="AH167" s="40">
        <f t="shared" si="98"/>
      </c>
    </row>
    <row r="168" spans="3:34" x14ac:dyDescent="0.3">
      <c r="C168" s="2" t="s">
        <v>243</v>
      </c>
      <c r="H168" s="77" t="str">
        <f>H167</f>
      </c>
      <c r="J168" s="39"/>
      <c r="K168" s="39"/>
      <c r="L168" s="39"/>
      <c r="M168" s="40">
        <f t="shared" ref="M168:T168" si="99">IFERROR(IF(J167&lt;&gt;"", SUM(J167:M167), 0), 0)</f>
      </c>
      <c r="N168" s="40">
        <f t="shared" si="99"/>
      </c>
      <c r="O168" s="40">
        <f t="shared" si="99"/>
      </c>
      <c r="P168" s="40">
        <f t="shared" si="99"/>
      </c>
      <c r="Q168" s="40">
        <f t="shared" si="99"/>
      </c>
      <c r="R168" s="40">
        <f t="shared" si="99"/>
      </c>
      <c r="S168" s="40">
        <f t="shared" si="99"/>
      </c>
      <c r="T168" s="40">
        <f t="shared" si="99"/>
      </c>
      <c r="U168" s="40">
        <f>IFERROR(IF(R167&lt;&gt;"", SUM(R167:U167), 0), 0)</f>
      </c>
      <c r="Y168" s="40">
        <f>IFERROR(IF(S167&lt;&gt;"", SUM(S167:Y167), 0), 0)</f>
      </c>
      <c r="Z168" s="40">
        <f>IFERROR(IF(T167&lt;&gt;"", SUM(T167:Z167), 0), 0)</f>
      </c>
      <c r="AA168" s="40">
        <f>IFERROR(IF(U167&lt;&gt;"", SUM(U167:AA167), 0), 0)</f>
      </c>
      <c r="AB168" s="40">
        <f t="shared" ref="AB168:AH168" si="100">IFERROR(IF(Y167&lt;&gt;"", SUM(Y167:AB167), 0), 0)</f>
      </c>
      <c r="AC168" s="40">
        <f t="shared" si="100"/>
      </c>
      <c r="AD168" s="40">
        <f t="shared" si="100"/>
      </c>
      <c r="AE168" s="40">
        <f t="shared" si="100"/>
      </c>
      <c r="AF168" s="40">
        <f t="shared" si="100"/>
      </c>
      <c r="AG168" s="40">
        <f t="shared" si="100"/>
      </c>
      <c r="AH168" s="40">
        <f t="shared" si="100"/>
      </c>
    </row>
    <row r="169" spans="3:34" x14ac:dyDescent="0.3">
      <c r="C169" s="2" t="s">
        <v>116</v>
      </c>
      <c r="H169" s="77" t="str">
        <f>H168</f>
      </c>
      <c r="J169" s="56"/>
      <c r="K169" s="56"/>
      <c r="L169" s="56">
        <f>IFERROR(HLOOKUP(LEFT(L133, 4), $L$6:$U$41, ROWS($U$6:$U$41), FALSE), $U41)</f>
      </c>
      <c r="M169" s="56">
        <f t="shared" ref="M169:U169" si="101">IFERROR(HLOOKUP(LEFT(M133, 4), $L$6:$U$41, ROWS($U$6:$U$41), FALSE), $U41)</f>
      </c>
      <c r="N169" s="56">
        <f t="shared" si="101"/>
      </c>
      <c r="O169" s="56">
        <f t="shared" si="101"/>
      </c>
      <c r="P169" s="56">
        <f t="shared" si="101"/>
      </c>
      <c r="Q169" s="56">
        <f t="shared" si="101"/>
      </c>
      <c r="R169" s="56">
        <f t="shared" si="101"/>
      </c>
      <c r="S169" s="56">
        <f t="shared" si="101"/>
      </c>
      <c r="T169" s="56">
        <f t="shared" si="101"/>
      </c>
      <c r="U169" s="56">
        <f t="shared" si="101"/>
      </c>
      <c r="Y169" s="40">
        <f>Y168*$U$171</f>
      </c>
      <c r="Z169" s="40">
        <f t="shared" ref="Z169:AH169" si="102">Z168*$U$171</f>
      </c>
      <c r="AA169" s="40">
        <f t="shared" si="102"/>
      </c>
      <c r="AB169" s="40">
        <f t="shared" si="102"/>
      </c>
      <c r="AC169" s="40">
        <f t="shared" si="102"/>
      </c>
      <c r="AD169" s="40">
        <f t="shared" si="102"/>
      </c>
      <c r="AE169" s="40">
        <f t="shared" si="102"/>
      </c>
      <c r="AF169" s="40">
        <f t="shared" si="102"/>
      </c>
      <c r="AG169" s="40">
        <f t="shared" si="102"/>
      </c>
      <c r="AH169" s="40">
        <f t="shared" si="102"/>
      </c>
    </row>
    <row r="170" spans="3:34" x14ac:dyDescent="0.3">
      <c r="C170" s="2" t="s">
        <v>241</v>
      </c>
      <c r="H170" s="77" t="str">
        <f>$H$10</f>
      </c>
      <c r="J170" s="71">
        <f t="shared" ref="J170:T170" si="103">IFERROR(J169*J166, 0)</f>
      </c>
      <c r="K170" s="71">
        <f t="shared" si="103"/>
      </c>
      <c r="L170" s="71">
        <f t="shared" si="103"/>
      </c>
      <c r="M170" s="71">
        <f t="shared" si="103"/>
      </c>
      <c r="N170" s="71">
        <f t="shared" si="103"/>
      </c>
      <c r="O170" s="71">
        <f>IFERROR(O169*O166, 0)</f>
      </c>
      <c r="P170" s="71">
        <f t="shared" si="103"/>
      </c>
      <c r="Q170" s="71">
        <f t="shared" si="103"/>
      </c>
      <c r="R170" s="71">
        <f t="shared" si="103"/>
      </c>
      <c r="S170" s="71">
        <f t="shared" si="103"/>
      </c>
      <c r="T170" s="71">
        <f t="shared" si="103"/>
      </c>
      <c r="U170" s="71">
        <f>IFERROR(U169*U166, 0)</f>
      </c>
      <c r="Y170" s="71">
        <f t="shared" ref="Y170:AH170" si="104">IFERROR(Y169*Y166, 0)</f>
      </c>
      <c r="Z170" s="71">
        <f t="shared" si="104"/>
      </c>
      <c r="AA170" s="71">
        <f t="shared" si="104"/>
      </c>
      <c r="AB170" s="71">
        <f t="shared" si="104"/>
      </c>
      <c r="AC170" s="71">
        <f t="shared" si="104"/>
      </c>
      <c r="AD170" s="71">
        <f t="shared" si="104"/>
      </c>
      <c r="AE170" s="71">
        <f t="shared" si="104"/>
      </c>
      <c r="AF170" s="71">
        <f t="shared" si="104"/>
      </c>
      <c r="AG170" s="71">
        <f t="shared" si="104"/>
      </c>
      <c r="AH170" s="71">
        <f t="shared" si="104"/>
      </c>
    </row>
    <row r="171" spans="3:34" x14ac:dyDescent="0.3">
      <c r="C171" s="2" t="s">
        <v>242</v>
      </c>
      <c r="J171" s="71"/>
      <c r="K171" s="71"/>
      <c r="L171" s="71"/>
      <c r="M171" s="71">
        <f t="shared" ref="M171:T171" si="105">M169/M168</f>
      </c>
      <c r="N171" s="71">
        <f t="shared" si="105"/>
      </c>
      <c r="O171" s="71">
        <f t="shared" si="105"/>
      </c>
      <c r="P171" s="71">
        <f t="shared" si="105"/>
      </c>
      <c r="Q171" s="71">
        <f t="shared" si="105"/>
      </c>
      <c r="R171" s="71">
        <f t="shared" si="105"/>
      </c>
      <c r="S171" s="71">
        <f t="shared" si="105"/>
      </c>
      <c r="T171" s="71">
        <f t="shared" si="105"/>
      </c>
      <c r="U171" s="71">
        <f>U169/U168</f>
      </c>
      <c r="Y171" s="71">
        <f>Y169/Y168</f>
      </c>
      <c r="Z171" s="71">
        <f t="shared" ref="Z171:AH171" si="106">Z169/Z168</f>
      </c>
      <c r="AA171" s="71">
        <f t="shared" si="106"/>
      </c>
      <c r="AB171" s="71">
        <f t="shared" si="106"/>
      </c>
      <c r="AC171" s="71">
        <f t="shared" si="106"/>
      </c>
      <c r="AD171" s="71">
        <f t="shared" si="106"/>
      </c>
      <c r="AE171" s="71">
        <f t="shared" si="106"/>
      </c>
      <c r="AF171" s="71">
        <f t="shared" si="106"/>
      </c>
      <c r="AG171" s="71">
        <f t="shared" si="106"/>
      </c>
      <c r="AH171" s="71">
        <f t="shared" si="106"/>
      </c>
    </row>
    <row r="172" spans="3:34" x14ac:dyDescent="0.3">
      <c r="C172" s="2" t="s">
        <v>357</v>
      </c>
      <c r="H172" s="77" t="str">
        <f>$H$10</f>
      </c>
      <c r="J172" s="56"/>
      <c r="K172" s="56"/>
      <c r="L172" s="56">
        <f t="shared" ref="L172:T172" si="107">IFERROR(HLOOKUP(LEFT(L133, 4), $L$6:$U$44, ROWS($U$6:$U$44), FALSE), $U44)</f>
      </c>
      <c r="M172" s="56">
        <f t="shared" si="107"/>
      </c>
      <c r="N172" s="56">
        <f t="shared" si="107"/>
      </c>
      <c r="O172" s="56">
        <f t="shared" si="107"/>
      </c>
      <c r="P172" s="56">
        <f t="shared" si="107"/>
      </c>
      <c r="Q172" s="56">
        <f t="shared" si="107"/>
      </c>
      <c r="R172" s="56">
        <f t="shared" si="107"/>
      </c>
      <c r="S172" s="56">
        <f t="shared" si="107"/>
      </c>
      <c r="T172" s="56">
        <f t="shared" si="107"/>
      </c>
      <c r="U172" s="56">
        <f>IFERROR(HLOOKUP(LEFT(U133, 4), $L$6:$U$44, ROWS($U$6:$U$44), FALSE), $U44)</f>
      </c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 spans="3:34" x14ac:dyDescent="0.3">
      <c r="C173" s="2" t="s">
        <v>575</v>
      </c>
      <c r="J173" s="71">
        <f>IFERROR(J170/J172, 0)</f>
      </c>
      <c r="K173" s="71">
        <f t="shared" ref="K173" si="108">IFERROR(K170/K172, 0)</f>
      </c>
      <c r="L173" s="71">
        <f t="shared" ref="L173" si="109">IFERROR(L170/L172, 0)</f>
      </c>
      <c r="M173" s="71">
        <f t="shared" ref="M173" si="110">IFERROR(M170/M172, 0)</f>
      </c>
      <c r="N173" s="71">
        <f t="shared" ref="N173" si="111">IFERROR(N170/N172, 0)</f>
      </c>
      <c r="O173" s="71">
        <f t="shared" ref="O173" si="112">IFERROR(O170/O172, 0)</f>
      </c>
      <c r="P173" s="71">
        <f t="shared" ref="P173" si="113">IFERROR(P170/P172, 0)</f>
      </c>
      <c r="Q173" s="71">
        <f t="shared" ref="Q173" si="114">IFERROR(Q170/Q172, 0)</f>
      </c>
      <c r="R173" s="71">
        <f t="shared" ref="R173" si="115">IFERROR(R170/R172, 0)</f>
      </c>
      <c r="S173" s="71">
        <f t="shared" ref="S173" si="116">IFERROR(S170/S172, 0)</f>
      </c>
      <c r="T173" s="71">
        <f t="shared" ref="T173" si="117">IFERROR(T170/T172, 0)</f>
      </c>
      <c r="U173" s="71">
        <f>IFERROR(U170/U172, 0)</f>
      </c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 spans="3:34" x14ac:dyDescent="0.3">
      <c r="C174" s="2" t="s">
        <v>112</v>
      </c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7" spans="2:34" x14ac:dyDescent="0.3">
      <c r="U177" s="227" t="str">
        <f>$U$2</f>
      </c>
    </row>
    <row r="178" spans="2:34" ht="18" x14ac:dyDescent="0.35">
      <c r="B178" s="148" t="str">
        <f>'Assumptions&amp;Scenario'!$K$10</f>
      </c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</row>
    <row r="179" spans="2:34" ht="18" thickBot="1" x14ac:dyDescent="0.35">
      <c r="B179" s="47" t="s">
        <v>568</v>
      </c>
      <c r="C179" s="48"/>
      <c r="D179" s="48"/>
      <c r="E179" s="48"/>
      <c r="F179" s="48"/>
      <c r="G179" s="48"/>
      <c r="H179" s="49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Y179" s="47" t="s">
        <v>569</v>
      </c>
      <c r="Z179" s="48"/>
      <c r="AA179" s="48"/>
      <c r="AB179" s="48"/>
      <c r="AC179" s="48"/>
      <c r="AD179" s="48"/>
      <c r="AE179" s="48"/>
      <c r="AF179" s="48"/>
      <c r="AG179" s="48"/>
      <c r="AH179" s="48"/>
    </row>
    <row r="180" spans="2:34" x14ac:dyDescent="0.3">
      <c r="C180" s="2"/>
      <c r="D180" s="2"/>
      <c r="E180" s="2"/>
      <c r="F180" s="2"/>
      <c r="J180" s="40">
        <v>1</v>
      </c>
      <c r="K180" s="40">
        <v>2</v>
      </c>
      <c r="L180" s="89">
        <v>3</v>
      </c>
      <c r="M180" s="89">
        <v>4</v>
      </c>
      <c r="N180" s="89">
        <v>5</v>
      </c>
      <c r="O180" s="89">
        <v>6</v>
      </c>
      <c r="P180" s="89">
        <v>7</v>
      </c>
      <c r="Q180" s="89">
        <v>8</v>
      </c>
      <c r="R180" s="89">
        <v>9</v>
      </c>
      <c r="S180" s="89">
        <v>10</v>
      </c>
      <c r="T180" s="89">
        <v>11</v>
      </c>
      <c r="U180" s="89">
        <v>12</v>
      </c>
      <c r="V180" s="40"/>
      <c r="W180" s="40"/>
      <c r="X180" s="40"/>
      <c r="Y180" s="89">
        <v>13</v>
      </c>
      <c r="Z180" s="89">
        <v>14</v>
      </c>
      <c r="AA180" s="89">
        <v>15</v>
      </c>
      <c r="AB180" s="89">
        <v>16</v>
      </c>
      <c r="AC180" s="89">
        <v>17</v>
      </c>
      <c r="AD180" s="89">
        <v>18</v>
      </c>
      <c r="AE180" s="89">
        <v>19</v>
      </c>
      <c r="AF180" s="89">
        <v>20</v>
      </c>
      <c r="AG180" s="89">
        <v>21</v>
      </c>
      <c r="AH180" s="89">
        <v>22</v>
      </c>
    </row>
    <row r="181" spans="2:34" ht="15.6" x14ac:dyDescent="0.3">
      <c r="C181" s="43" t="s">
        <v>25</v>
      </c>
      <c r="D181" s="43"/>
      <c r="E181" s="43"/>
      <c r="F181" s="43"/>
      <c r="G181" s="43"/>
      <c r="H181" s="44"/>
      <c r="I181" s="44"/>
      <c r="J181" s="44" t="str">
        <f t="shared" ref="J181" si="118">"FY"&amp;TEXT(MID(K181,3,2)-IF(RIGHT(K181,1)="1",1,0),"00")&amp;"Q"&amp;CHOOSE(RIGHT(K181,1)+0,4,1,2,3)</f>
      </c>
      <c r="K181" s="44" t="str">
        <f t="shared" ref="K181" si="119">"FY"&amp;TEXT(MID(L181,3,2)-IF(RIGHT(L181,1)="1",1,0),"00")&amp;"Q"&amp;CHOOSE(RIGHT(L181,1)+0,4,1,2,3)</f>
      </c>
      <c r="L181" s="79" t="str">
        <f t="shared" ref="L181" si="120">"FY"&amp;TEXT(MID(M181,3,2)-IF(RIGHT(M181,1)="1",1,0),"00")&amp;"Q"&amp;CHOOSE(RIGHT(M181,1)+0,4,1,2,3)</f>
      </c>
      <c r="M181" s="79" t="str">
        <f t="shared" ref="M181" si="121">"FY"&amp;TEXT(MID(N181,3,2)-IF(RIGHT(N181,1)="1",1,0),"00")&amp;"Q"&amp;CHOOSE(RIGHT(N181,1)+0,4,1,2,3)</f>
      </c>
      <c r="N181" s="79" t="str">
        <f t="shared" ref="N181" si="122">"FY"&amp;TEXT(MID(O181,3,2)-IF(RIGHT(O181,1)="1",1,0),"00")&amp;"Q"&amp;CHOOSE(RIGHT(O181,1)+0,4,1,2,3)</f>
      </c>
      <c r="O181" s="79" t="str">
        <f t="shared" ref="O181" si="123">"FY"&amp;TEXT(MID(P181,3,2)-IF(RIGHT(P181,1)="1",1,0),"00")&amp;"Q"&amp;CHOOSE(RIGHT(P181,1)+0,4,1,2,3)</f>
      </c>
      <c r="P181" s="79" t="str">
        <f t="shared" ref="P181" si="124">"FY"&amp;TEXT(MID(Q181,3,2)-IF(RIGHT(Q181,1)="1",1,0),"00")&amp;"Q"&amp;CHOOSE(RIGHT(Q181,1)+0,4,1,2,3)</f>
      </c>
      <c r="Q181" s="79" t="str">
        <f t="shared" ref="Q181" si="125">"FY"&amp;TEXT(MID(R181,3,2)-IF(RIGHT(R181,1)="1",1,0),"00")&amp;"Q"&amp;CHOOSE(RIGHT(R181,1)+0,4,1,2,3)</f>
      </c>
      <c r="R181" s="79" t="str">
        <f t="shared" ref="R181" si="126">"FY"&amp;TEXT(MID(S181,3,2)-IF(RIGHT(S181,1)="1",1,0),"00")&amp;"Q"&amp;CHOOSE(RIGHT(S181,1)+0,4,1,2,3)</f>
      </c>
      <c r="S181" s="79" t="str">
        <f t="shared" ref="S181" si="127">"FY"&amp;TEXT(MID(T181,3,2)-IF(RIGHT(T181,1)="1",1,0),"00")&amp;"Q"&amp;CHOOSE(RIGHT(T181,1)+0,4,1,2,3)</f>
      </c>
      <c r="T181" s="79" t="str">
        <f>"FY"&amp;TEXT(MID(U181,3,2)-IF(RIGHT(U181,1)="1",1,0),"00")&amp;"Q"&amp;CHOOSE(RIGHT(U181,1)+0,4,1,2,3)</f>
      </c>
      <c r="U181" s="79" t="str">
        <f>"FY"&amp;TEXT(YEAR('Data Sheet'!$K$41)+(MONTH('Data Sheet'!$K$41)&gt;3)-2000,"00")&amp;"Q"&amp;INT((MOD(MONTH('Data Sheet'!$K$41)-4,12))/3)+1</f>
      </c>
      <c r="Y181" s="44" t="str">
        <f>Model!$N$31</f>
      </c>
      <c r="Z181" s="44" t="str">
        <f t="shared" ref="Z181" si="128">"FY"&amp;TEXT(MID(Y181,3,2)+IF(RIGHT(Y181,1)="4",1,0),"00")&amp;"Q"&amp;MOD(RIGHT(Y181,1),4)+1</f>
      </c>
      <c r="AA181" s="44" t="str">
        <f t="shared" ref="AA181" si="129">"FY"&amp;TEXT(MID(Z181,3,2)+IF(RIGHT(Z181,1)="4",1,0),"00")&amp;"Q"&amp;MOD(RIGHT(Z181,1),4)+1</f>
      </c>
      <c r="AB181" s="44" t="str">
        <f t="shared" ref="AB181" si="130">"FY"&amp;TEXT(MID(AA181,3,2)+IF(RIGHT(AA181,1)="4",1,0),"00")&amp;"Q"&amp;MOD(RIGHT(AA181,1),4)+1</f>
      </c>
      <c r="AC181" s="44" t="str">
        <f t="shared" ref="AC181" si="131">"FY"&amp;TEXT(MID(AB181,3,2)+IF(RIGHT(AB181,1)="4",1,0),"00")&amp;"Q"&amp;MOD(RIGHT(AB181,1),4)+1</f>
      </c>
      <c r="AD181" s="44" t="str">
        <f t="shared" ref="AD181" si="132">"FY"&amp;TEXT(MID(AC181,3,2)+IF(RIGHT(AC181,1)="4",1,0),"00")&amp;"Q"&amp;MOD(RIGHT(AC181,1),4)+1</f>
      </c>
      <c r="AE181" s="44" t="str">
        <f t="shared" ref="AE181" si="133">"FY"&amp;TEXT(MID(AD181,3,2)+IF(RIGHT(AD181,1)="4",1,0),"00")&amp;"Q"&amp;MOD(RIGHT(AD181,1),4)+1</f>
      </c>
      <c r="AF181" s="44" t="str">
        <f t="shared" ref="AF181" si="134">"FY"&amp;TEXT(MID(AE181,3,2)+IF(RIGHT(AE181,1)="4",1,0),"00")&amp;"Q"&amp;MOD(RIGHT(AE181,1),4)+1</f>
      </c>
      <c r="AG181" s="44" t="str">
        <f t="shared" ref="AG181" si="135">"FY"&amp;TEXT(MID(AF181,3,2)+IF(RIGHT(AF181,1)="4",1,0),"00")&amp;"Q"&amp;MOD(RIGHT(AF181,1),4)+1</f>
      </c>
      <c r="AH181" s="44" t="str">
        <f t="shared" ref="AH181" si="136">"FY"&amp;TEXT(MID(AG181,3,2)+IF(RIGHT(AG181,1)="4",1,0),"00")&amp;"Q"&amp;MOD(RIGHT(AG181,1),4)+1</f>
      </c>
    </row>
    <row r="182" spans="2:34" ht="3" customHeight="1" x14ac:dyDescent="0.3"/>
    <row r="183" spans="2:34" ht="3" customHeight="1" x14ac:dyDescent="0.3"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2:34" ht="3" customHeight="1" x14ac:dyDescent="0.3"/>
    <row r="185" spans="2:34" ht="18" x14ac:dyDescent="0.35">
      <c r="C185" s="24" t="s">
        <v>506</v>
      </c>
      <c r="H185" s="77" t="str">
        <f>$H$10</f>
      </c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Y185" s="90">
        <f t="shared" ref="Y185:AH185" si="137">IFERROR(_xlfn.FORECAST.LINEAR(Y$132, $J185:$U185, $J$132:$U$132), 0)</f>
      </c>
      <c r="Z185" s="90">
        <f t="shared" si="137"/>
      </c>
      <c r="AA185" s="90">
        <f t="shared" si="137"/>
      </c>
      <c r="AB185" s="90">
        <f t="shared" si="137"/>
      </c>
      <c r="AC185" s="90">
        <f t="shared" si="137"/>
      </c>
      <c r="AD185" s="90">
        <f t="shared" si="137"/>
      </c>
      <c r="AE185" s="90">
        <f t="shared" si="137"/>
      </c>
      <c r="AF185" s="90">
        <f t="shared" si="137"/>
      </c>
      <c r="AG185" s="90">
        <f t="shared" si="137"/>
      </c>
      <c r="AH185" s="90">
        <f t="shared" si="137"/>
      </c>
    </row>
    <row r="186" spans="2:34" x14ac:dyDescent="0.3">
      <c r="D186" s="78" t="s">
        <v>508</v>
      </c>
      <c r="K186" s="85">
        <f t="shared" ref="K186" si="138">IFERROR(K185/J185-1, 0)</f>
      </c>
      <c r="L186" s="85">
        <f t="shared" ref="L186" si="139">IFERROR(L185/K185-1, 0)</f>
      </c>
      <c r="M186" s="85">
        <f t="shared" ref="M186" si="140">IFERROR(M185/L185-1, 0)</f>
      </c>
      <c r="N186" s="85">
        <f t="shared" ref="N186" si="141">IFERROR(N185/M185-1, 0)</f>
      </c>
      <c r="O186" s="85">
        <f t="shared" ref="O186" si="142">IFERROR(O185/N185-1, 0)</f>
      </c>
      <c r="P186" s="85">
        <f t="shared" ref="P186" si="143">IFERROR(P185/O185-1, 0)</f>
      </c>
      <c r="Q186" s="85">
        <f t="shared" ref="Q186" si="144">IFERROR(Q185/P185-1, 0)</f>
      </c>
      <c r="R186" s="85">
        <f t="shared" ref="R186" si="145">IFERROR(R185/Q185-1, 0)</f>
      </c>
      <c r="S186" s="85">
        <f t="shared" ref="S186" si="146">IFERROR(S185/R185-1, 0)</f>
      </c>
      <c r="T186" s="85">
        <f t="shared" ref="T186" si="147">IFERROR(T185/S185-1, 0)</f>
      </c>
      <c r="U186" s="85">
        <f t="shared" ref="U186" si="148">IFERROR(U185/T185-1, 0)</f>
      </c>
      <c r="Y186" s="85">
        <f>IFERROR(Y185/R185-1, 0)</f>
      </c>
      <c r="Z186" s="85">
        <f>IFERROR(Z185/S185-1, 0)</f>
      </c>
      <c r="AA186" s="85">
        <f>IFERROR(AA185/T185-1, 0)</f>
      </c>
      <c r="AB186" s="85">
        <f>IFERROR(AB185/U185-1, 0)</f>
      </c>
      <c r="AC186" s="85">
        <f>IFERROR(AC185/Y185-1, 0)</f>
      </c>
      <c r="AD186" s="85">
        <f t="shared" ref="AD186:AH186" si="149">IFERROR(AD185/Z185-1, 0)</f>
      </c>
      <c r="AE186" s="85">
        <f t="shared" si="149"/>
      </c>
      <c r="AF186" s="85">
        <f t="shared" si="149"/>
      </c>
      <c r="AG186" s="85">
        <f t="shared" si="149"/>
      </c>
      <c r="AH186" s="85">
        <f t="shared" si="149"/>
      </c>
    </row>
    <row r="187" spans="2:34" ht="18" x14ac:dyDescent="0.35">
      <c r="C187" s="24" t="s">
        <v>507</v>
      </c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Y187" s="90">
        <f t="shared" ref="Y187:AH187" si="150">IFERROR(_xlfn.FORECAST.LINEAR(Y$132, $J187:$U187, $J$132:$U$132), 0)</f>
      </c>
      <c r="Z187" s="90">
        <f t="shared" si="150"/>
      </c>
      <c r="AA187" s="90">
        <f t="shared" si="150"/>
      </c>
      <c r="AB187" s="90">
        <f t="shared" si="150"/>
      </c>
      <c r="AC187" s="90">
        <f t="shared" si="150"/>
      </c>
      <c r="AD187" s="90">
        <f t="shared" si="150"/>
      </c>
      <c r="AE187" s="90">
        <f t="shared" si="150"/>
      </c>
      <c r="AF187" s="90">
        <f t="shared" si="150"/>
      </c>
      <c r="AG187" s="90">
        <f t="shared" si="150"/>
      </c>
      <c r="AH187" s="90">
        <f t="shared" si="150"/>
      </c>
    </row>
    <row r="188" spans="2:34" x14ac:dyDescent="0.3">
      <c r="D188" s="78" t="s">
        <v>509</v>
      </c>
      <c r="K188" s="85">
        <f t="shared" ref="K188" si="151">IFERROR(K187/J187-1, 0)</f>
      </c>
      <c r="L188" s="85">
        <f t="shared" ref="L188" si="152">IFERROR(L187/K187-1, 0)</f>
      </c>
      <c r="M188" s="85">
        <f t="shared" ref="M188" si="153">IFERROR(M187/L187-1, 0)</f>
      </c>
      <c r="N188" s="85">
        <f t="shared" ref="N188" si="154">IFERROR(N187/M187-1, 0)</f>
      </c>
      <c r="O188" s="85">
        <f t="shared" ref="O188" si="155">IFERROR(O187/N187-1, 0)</f>
      </c>
      <c r="P188" s="85">
        <f t="shared" ref="P188" si="156">IFERROR(P187/O187-1, 0)</f>
      </c>
      <c r="Q188" s="85">
        <f t="shared" ref="Q188" si="157">IFERROR(Q187/P187-1, 0)</f>
      </c>
      <c r="R188" s="85">
        <f t="shared" ref="R188" si="158">IFERROR(R187/Q187-1, 0)</f>
      </c>
      <c r="S188" s="85">
        <f t="shared" ref="S188" si="159">IFERROR(S187/R187-1, 0)</f>
      </c>
      <c r="T188" s="85">
        <f t="shared" ref="T188" si="160">IFERROR(T187/S187-1, 0)</f>
      </c>
      <c r="U188" s="85">
        <f t="shared" ref="U188" si="161">IFERROR(U187/T187-1, 0)</f>
      </c>
      <c r="Y188" s="85">
        <f>IFERROR(Y187/R187-1, 0)</f>
      </c>
      <c r="Z188" s="85">
        <f>IFERROR(Z187/S187-1, 0)</f>
      </c>
      <c r="AA188" s="85">
        <f>IFERROR(AA187/T187-1, 0)</f>
      </c>
      <c r="AB188" s="85">
        <f>IFERROR(AB187/U187-1, 0)</f>
      </c>
      <c r="AC188" s="85">
        <f>IFERROR(AC187/Y187-1, 0)</f>
      </c>
      <c r="AD188" s="85">
        <f t="shared" ref="AD188" si="162">IFERROR(AD187/Z187-1, 0)</f>
      </c>
      <c r="AE188" s="85">
        <f t="shared" ref="AE188" si="163">IFERROR(AE187/AA187-1, 0)</f>
      </c>
      <c r="AF188" s="85">
        <f t="shared" ref="AF188" si="164">IFERROR(AF187/AB187-1, 0)</f>
      </c>
      <c r="AG188" s="85">
        <f t="shared" ref="AG188" si="165">IFERROR(AG187/AC187-1, 0)</f>
      </c>
      <c r="AH188" s="85">
        <f t="shared" ref="AH188" si="166">IFERROR(AH187/AD187-1, 0)</f>
      </c>
    </row>
    <row r="189" spans="2:34" x14ac:dyDescent="0.3">
      <c r="D189" t="s">
        <v>527</v>
      </c>
      <c r="J189" s="85">
        <f t="shared" ref="J189:U189" si="167">IFERROR(J139/J187, 0)</f>
      </c>
      <c r="K189" s="85">
        <f t="shared" si="167"/>
      </c>
      <c r="L189" s="85">
        <f t="shared" si="167"/>
      </c>
      <c r="M189" s="85">
        <f t="shared" si="167"/>
      </c>
      <c r="N189" s="85">
        <f t="shared" si="167"/>
      </c>
      <c r="O189" s="85">
        <f t="shared" si="167"/>
      </c>
      <c r="P189" s="85">
        <f t="shared" si="167"/>
      </c>
      <c r="Q189" s="85">
        <f t="shared" si="167"/>
      </c>
      <c r="R189" s="85">
        <f t="shared" si="167"/>
      </c>
      <c r="S189" s="85">
        <f t="shared" si="167"/>
      </c>
      <c r="T189" s="85">
        <f t="shared" si="167"/>
      </c>
      <c r="U189" s="85">
        <f t="shared" si="167"/>
      </c>
    </row>
    <row r="190" spans="2:34" x14ac:dyDescent="0.3">
      <c r="C190" s="2" t="s">
        <v>526</v>
      </c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Y190" s="90">
        <f t="shared" ref="Y190:AH190" si="168">IFERROR(_xlfn.FORECAST.LINEAR(Y$132, $J190:$U190, $J$132:$U$132), 0)</f>
      </c>
      <c r="Z190" s="90">
        <f t="shared" si="168"/>
      </c>
      <c r="AA190" s="90">
        <f t="shared" si="168"/>
      </c>
      <c r="AB190" s="90">
        <f t="shared" si="168"/>
      </c>
      <c r="AC190" s="90">
        <f t="shared" si="168"/>
      </c>
      <c r="AD190" s="90">
        <f t="shared" si="168"/>
      </c>
      <c r="AE190" s="90">
        <f t="shared" si="168"/>
      </c>
      <c r="AF190" s="90">
        <f t="shared" si="168"/>
      </c>
      <c r="AG190" s="90">
        <f t="shared" si="168"/>
      </c>
      <c r="AH190" s="90">
        <f t="shared" si="168"/>
      </c>
    </row>
    <row r="191" spans="2:34" ht="3" customHeight="1" x14ac:dyDescent="0.3"/>
    <row r="192" spans="2:34" x14ac:dyDescent="0.3">
      <c r="C192" t="s">
        <v>533</v>
      </c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Y192" s="90">
        <f>IFERROR(_xlfn.FORECAST.LINEAR(Y$132, $J192:$U192, $J$132:$U$132), 0)</f>
      </c>
      <c r="Z192" s="90">
        <f t="shared" ref="Y192:AH195" si="169">IFERROR(_xlfn.FORECAST.LINEAR(Z$132, $J192:$U192, $J$132:$U$132), 0)</f>
      </c>
      <c r="AA192" s="90">
        <f t="shared" si="169"/>
      </c>
      <c r="AB192" s="90">
        <f t="shared" si="169"/>
      </c>
      <c r="AC192" s="90">
        <f t="shared" si="169"/>
      </c>
      <c r="AD192" s="90">
        <f t="shared" si="169"/>
      </c>
      <c r="AE192" s="90">
        <f t="shared" si="169"/>
      </c>
      <c r="AF192" s="90">
        <f t="shared" si="169"/>
      </c>
      <c r="AG192" s="90">
        <f t="shared" si="169"/>
      </c>
      <c r="AH192" s="90">
        <f t="shared" si="169"/>
      </c>
    </row>
    <row r="193" spans="3:34" x14ac:dyDescent="0.3">
      <c r="C193" t="s">
        <v>532</v>
      </c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</row>
    <row r="194" spans="3:34" x14ac:dyDescent="0.3">
      <c r="C194" t="s">
        <v>528</v>
      </c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Y194" s="90">
        <f t="shared" si="169"/>
      </c>
      <c r="Z194" s="90">
        <f t="shared" si="169"/>
      </c>
      <c r="AA194" s="90">
        <f t="shared" si="169"/>
      </c>
      <c r="AB194" s="90">
        <f t="shared" si="169"/>
      </c>
      <c r="AC194" s="90">
        <f t="shared" si="169"/>
      </c>
      <c r="AD194" s="90">
        <f t="shared" si="169"/>
      </c>
      <c r="AE194" s="90">
        <f t="shared" si="169"/>
      </c>
      <c r="AF194" s="90">
        <f t="shared" si="169"/>
      </c>
      <c r="AG194" s="90">
        <f t="shared" si="169"/>
      </c>
      <c r="AH194" s="90">
        <f t="shared" si="169"/>
      </c>
    </row>
    <row r="195" spans="3:34" x14ac:dyDescent="0.3">
      <c r="C195" t="s">
        <v>529</v>
      </c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Y195" s="90">
        <f t="shared" si="169"/>
      </c>
      <c r="Z195" s="90">
        <f t="shared" si="169"/>
      </c>
      <c r="AA195" s="90">
        <f t="shared" si="169"/>
      </c>
      <c r="AB195" s="90">
        <f t="shared" si="169"/>
      </c>
      <c r="AC195" s="90">
        <f t="shared" si="169"/>
      </c>
      <c r="AD195" s="90">
        <f t="shared" si="169"/>
      </c>
      <c r="AE195" s="90">
        <f t="shared" si="169"/>
      </c>
      <c r="AF195" s="90">
        <f t="shared" si="169"/>
      </c>
      <c r="AG195" s="90">
        <f t="shared" si="169"/>
      </c>
      <c r="AH195" s="90">
        <f t="shared" si="169"/>
      </c>
    </row>
    <row r="196" spans="3:34" x14ac:dyDescent="0.3">
      <c r="C196" t="s">
        <v>530</v>
      </c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</row>
    <row r="197" spans="3:34" x14ac:dyDescent="0.3">
      <c r="C197" t="s">
        <v>531</v>
      </c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</row>
    <row r="198" spans="3:34" ht="3" customHeight="1" x14ac:dyDescent="0.3"/>
    <row r="199" spans="3:34" x14ac:dyDescent="0.3">
      <c r="C199" t="s">
        <v>534</v>
      </c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</row>
    <row r="200" spans="3:34" x14ac:dyDescent="0.3">
      <c r="C200" t="s">
        <v>535</v>
      </c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</row>
    <row r="201" spans="3:34" x14ac:dyDescent="0.3">
      <c r="C201" t="s">
        <v>536</v>
      </c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</row>
    <row r="202" spans="3:34" x14ac:dyDescent="0.3">
      <c r="C202" t="s">
        <v>541</v>
      </c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</row>
    <row r="203" spans="3:34" ht="3" customHeight="1" x14ac:dyDescent="0.3"/>
    <row r="204" spans="3:34" x14ac:dyDescent="0.3">
      <c r="C204" t="s">
        <v>537</v>
      </c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</row>
    <row r="205" spans="3:34" x14ac:dyDescent="0.3">
      <c r="C205" t="s">
        <v>114</v>
      </c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</row>
    <row r="206" spans="3:34" ht="3" customHeight="1" x14ac:dyDescent="0.3"/>
    <row r="207" spans="3:34" x14ac:dyDescent="0.3">
      <c r="C207" t="s">
        <v>538</v>
      </c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Y207" s="90">
        <f t="shared" ref="Y207:AH209" si="170">IFERROR(_xlfn.FORECAST.LINEAR(Y$132, $J207:$U207, $J$132:$U$132), 0)</f>
      </c>
      <c r="Z207" s="90">
        <f t="shared" si="170"/>
      </c>
      <c r="AA207" s="90">
        <f t="shared" si="170"/>
      </c>
      <c r="AB207" s="90">
        <f t="shared" si="170"/>
      </c>
      <c r="AC207" s="90">
        <f t="shared" si="170"/>
      </c>
      <c r="AD207" s="90">
        <f t="shared" si="170"/>
      </c>
      <c r="AE207" s="90">
        <f t="shared" si="170"/>
      </c>
      <c r="AF207" s="90">
        <f t="shared" si="170"/>
      </c>
      <c r="AG207" s="90">
        <f t="shared" si="170"/>
      </c>
      <c r="AH207" s="90">
        <f t="shared" si="170"/>
      </c>
    </row>
    <row r="208" spans="3:34" x14ac:dyDescent="0.3">
      <c r="C208" t="s">
        <v>539</v>
      </c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Y208" s="90">
        <f t="shared" si="170"/>
      </c>
      <c r="Z208" s="90">
        <f t="shared" si="170"/>
      </c>
      <c r="AA208" s="90">
        <f t="shared" si="170"/>
      </c>
      <c r="AB208" s="90">
        <f t="shared" si="170"/>
      </c>
      <c r="AC208" s="90">
        <f t="shared" si="170"/>
      </c>
      <c r="AD208" s="90">
        <f t="shared" si="170"/>
      </c>
      <c r="AE208" s="90">
        <f t="shared" si="170"/>
      </c>
      <c r="AF208" s="90">
        <f t="shared" si="170"/>
      </c>
      <c r="AG208" s="90">
        <f t="shared" si="170"/>
      </c>
      <c r="AH208" s="90">
        <f t="shared" si="170"/>
      </c>
    </row>
    <row r="209" spans="2:34" x14ac:dyDescent="0.3">
      <c r="C209" t="s">
        <v>540</v>
      </c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Y209" s="90">
        <f t="shared" si="170"/>
      </c>
      <c r="Z209" s="90">
        <f t="shared" si="170"/>
      </c>
      <c r="AA209" s="90">
        <f t="shared" si="170"/>
      </c>
      <c r="AB209" s="90">
        <f t="shared" si="170"/>
      </c>
      <c r="AC209" s="90">
        <f t="shared" si="170"/>
      </c>
      <c r="AD209" s="90">
        <f t="shared" si="170"/>
      </c>
      <c r="AE209" s="90">
        <f t="shared" si="170"/>
      </c>
      <c r="AF209" s="90">
        <f t="shared" si="170"/>
      </c>
      <c r="AG209" s="90">
        <f t="shared" si="170"/>
      </c>
      <c r="AH209" s="90">
        <f t="shared" si="170"/>
      </c>
    </row>
    <row r="212" spans="2:34" x14ac:dyDescent="0.3">
      <c r="U212" s="227" t="str">
        <f>$U$2</f>
      </c>
    </row>
    <row r="213" spans="2:34" ht="18" x14ac:dyDescent="0.35">
      <c r="B213" s="148" t="str">
        <f>'Assumptions&amp;Scenario'!$K$10</f>
      </c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</row>
    <row r="214" spans="2:34" ht="18" thickBot="1" x14ac:dyDescent="0.35">
      <c r="B214" s="47" t="s">
        <v>570</v>
      </c>
      <c r="C214" s="48"/>
      <c r="D214" s="48"/>
      <c r="E214" s="48"/>
      <c r="F214" s="48"/>
      <c r="G214" s="48"/>
      <c r="H214" s="49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Y214" s="47" t="s">
        <v>571</v>
      </c>
      <c r="Z214" s="48"/>
      <c r="AA214" s="48"/>
      <c r="AB214" s="48"/>
      <c r="AC214" s="48"/>
      <c r="AD214" s="48"/>
      <c r="AE214" s="48"/>
      <c r="AF214" s="48"/>
      <c r="AG214" s="48"/>
      <c r="AH214" s="48"/>
    </row>
    <row r="215" spans="2:34" x14ac:dyDescent="0.3">
      <c r="C215" s="2"/>
      <c r="D215" s="2"/>
      <c r="E215" s="2"/>
      <c r="F215" s="2"/>
      <c r="J215" s="40">
        <v>1</v>
      </c>
      <c r="K215" s="40">
        <v>2</v>
      </c>
      <c r="L215" s="89">
        <v>3</v>
      </c>
      <c r="M215" s="89">
        <v>4</v>
      </c>
      <c r="N215" s="89">
        <v>5</v>
      </c>
      <c r="O215" s="89">
        <v>6</v>
      </c>
      <c r="P215" s="89">
        <v>7</v>
      </c>
      <c r="Q215" s="89">
        <v>8</v>
      </c>
      <c r="R215" s="89">
        <v>9</v>
      </c>
      <c r="S215" s="89">
        <v>10</v>
      </c>
      <c r="T215" s="89">
        <v>11</v>
      </c>
      <c r="U215" s="89">
        <v>12</v>
      </c>
      <c r="V215" s="40"/>
      <c r="W215" s="40"/>
      <c r="X215" s="40"/>
      <c r="Y215" s="89">
        <v>13</v>
      </c>
      <c r="Z215" s="89">
        <v>14</v>
      </c>
      <c r="AA215" s="89">
        <v>15</v>
      </c>
      <c r="AB215" s="89">
        <v>16</v>
      </c>
      <c r="AC215" s="89">
        <v>17</v>
      </c>
      <c r="AD215" s="89">
        <v>18</v>
      </c>
      <c r="AE215" s="89">
        <v>19</v>
      </c>
      <c r="AF215" s="89">
        <v>20</v>
      </c>
      <c r="AG215" s="89">
        <v>21</v>
      </c>
      <c r="AH215" s="89">
        <v>22</v>
      </c>
    </row>
    <row r="216" spans="2:34" ht="15.6" x14ac:dyDescent="0.3">
      <c r="C216" s="43" t="s">
        <v>25</v>
      </c>
      <c r="D216" s="43"/>
      <c r="E216" s="43"/>
      <c r="F216" s="43"/>
      <c r="G216" s="43"/>
      <c r="H216" s="44"/>
      <c r="I216" s="44"/>
      <c r="J216" s="44" t="str">
        <f t="shared" ref="J216" si="171">"FY"&amp;TEXT(MID(K216,3,2)-IF(RIGHT(K216,1)="1",1,0),"00")&amp;"Q"&amp;CHOOSE(RIGHT(K216,1)+0,4,1,2,3)</f>
      </c>
      <c r="K216" s="44" t="str">
        <f t="shared" ref="K216" si="172">"FY"&amp;TEXT(MID(L216,3,2)-IF(RIGHT(L216,1)="1",1,0),"00")&amp;"Q"&amp;CHOOSE(RIGHT(L216,1)+0,4,1,2,3)</f>
      </c>
      <c r="L216" s="79" t="str">
        <f t="shared" ref="L216" si="173">"FY"&amp;TEXT(MID(M216,3,2)-IF(RIGHT(M216,1)="1",1,0),"00")&amp;"Q"&amp;CHOOSE(RIGHT(M216,1)+0,4,1,2,3)</f>
      </c>
      <c r="M216" s="79" t="str">
        <f t="shared" ref="M216" si="174">"FY"&amp;TEXT(MID(N216,3,2)-IF(RIGHT(N216,1)="1",1,0),"00")&amp;"Q"&amp;CHOOSE(RIGHT(N216,1)+0,4,1,2,3)</f>
      </c>
      <c r="N216" s="79" t="str">
        <f t="shared" ref="N216" si="175">"FY"&amp;TEXT(MID(O216,3,2)-IF(RIGHT(O216,1)="1",1,0),"00")&amp;"Q"&amp;CHOOSE(RIGHT(O216,1)+0,4,1,2,3)</f>
      </c>
      <c r="O216" s="79" t="str">
        <f t="shared" ref="O216" si="176">"FY"&amp;TEXT(MID(P216,3,2)-IF(RIGHT(P216,1)="1",1,0),"00")&amp;"Q"&amp;CHOOSE(RIGHT(P216,1)+0,4,1,2,3)</f>
      </c>
      <c r="P216" s="79" t="str">
        <f t="shared" ref="P216" si="177">"FY"&amp;TEXT(MID(Q216,3,2)-IF(RIGHT(Q216,1)="1",1,0),"00")&amp;"Q"&amp;CHOOSE(RIGHT(Q216,1)+0,4,1,2,3)</f>
      </c>
      <c r="Q216" s="79" t="str">
        <f t="shared" ref="Q216" si="178">"FY"&amp;TEXT(MID(R216,3,2)-IF(RIGHT(R216,1)="1",1,0),"00")&amp;"Q"&amp;CHOOSE(RIGHT(R216,1)+0,4,1,2,3)</f>
      </c>
      <c r="R216" s="79" t="str">
        <f t="shared" ref="R216" si="179">"FY"&amp;TEXT(MID(S216,3,2)-IF(RIGHT(S216,1)="1",1,0),"00")&amp;"Q"&amp;CHOOSE(RIGHT(S216,1)+0,4,1,2,3)</f>
      </c>
      <c r="S216" s="79" t="str">
        <f t="shared" ref="S216" si="180">"FY"&amp;TEXT(MID(T216,3,2)-IF(RIGHT(T216,1)="1",1,0),"00")&amp;"Q"&amp;CHOOSE(RIGHT(T216,1)+0,4,1,2,3)</f>
      </c>
      <c r="T216" s="79" t="str">
        <f>"FY"&amp;TEXT(MID(U216,3,2)-IF(RIGHT(U216,1)="1",1,0),"00")&amp;"Q"&amp;CHOOSE(RIGHT(U216,1)+0,4,1,2,3)</f>
      </c>
      <c r="U216" s="79" t="str">
        <f>"FY"&amp;TEXT(YEAR('Data Sheet'!$K$41)+(MONTH('Data Sheet'!$K$41)&gt;3)-2000,"00")&amp;"Q"&amp;INT((MOD(MONTH('Data Sheet'!$K$41)-4,12))/3)+1</f>
      </c>
      <c r="Y216" s="44" t="str">
        <f>Model!$N$31</f>
      </c>
      <c r="Z216" s="44" t="str">
        <f t="shared" ref="Z216" si="181">"FY"&amp;TEXT(MID(Y216,3,2)+IF(RIGHT(Y216,1)="4",1,0),"00")&amp;"Q"&amp;MOD(RIGHT(Y216,1),4)+1</f>
      </c>
      <c r="AA216" s="44" t="str">
        <f t="shared" ref="AA216" si="182">"FY"&amp;TEXT(MID(Z216,3,2)+IF(RIGHT(Z216,1)="4",1,0),"00")&amp;"Q"&amp;MOD(RIGHT(Z216,1),4)+1</f>
      </c>
      <c r="AB216" s="44" t="str">
        <f t="shared" ref="AB216" si="183">"FY"&amp;TEXT(MID(AA216,3,2)+IF(RIGHT(AA216,1)="4",1,0),"00")&amp;"Q"&amp;MOD(RIGHT(AA216,1),4)+1</f>
      </c>
      <c r="AC216" s="44" t="str">
        <f t="shared" ref="AC216" si="184">"FY"&amp;TEXT(MID(AB216,3,2)+IF(RIGHT(AB216,1)="4",1,0),"00")&amp;"Q"&amp;MOD(RIGHT(AB216,1),4)+1</f>
      </c>
      <c r="AD216" s="44" t="str">
        <f t="shared" ref="AD216" si="185">"FY"&amp;TEXT(MID(AC216,3,2)+IF(RIGHT(AC216,1)="4",1,0),"00")&amp;"Q"&amp;MOD(RIGHT(AC216,1),4)+1</f>
      </c>
      <c r="AE216" s="44" t="str">
        <f t="shared" ref="AE216" si="186">"FY"&amp;TEXT(MID(AD216,3,2)+IF(RIGHT(AD216,1)="4",1,0),"00")&amp;"Q"&amp;MOD(RIGHT(AD216,1),4)+1</f>
      </c>
      <c r="AF216" s="44" t="str">
        <f t="shared" ref="AF216" si="187">"FY"&amp;TEXT(MID(AE216,3,2)+IF(RIGHT(AE216,1)="4",1,0),"00")&amp;"Q"&amp;MOD(RIGHT(AE216,1),4)+1</f>
      </c>
      <c r="AG216" s="44" t="str">
        <f t="shared" ref="AG216" si="188">"FY"&amp;TEXT(MID(AF216,3,2)+IF(RIGHT(AF216,1)="4",1,0),"00")&amp;"Q"&amp;MOD(RIGHT(AF216,1),4)+1</f>
      </c>
      <c r="AH216" s="44" t="str">
        <f t="shared" ref="AH216" si="189">"FY"&amp;TEXT(MID(AG216,3,2)+IF(RIGHT(AG216,1)="4",1,0),"00")&amp;"Q"&amp;MOD(RIGHT(AG216,1),4)+1</f>
      </c>
    </row>
    <row r="217" spans="2:34" ht="3" customHeight="1" x14ac:dyDescent="0.3"/>
    <row r="218" spans="2:34" ht="3" customHeight="1" x14ac:dyDescent="0.3"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2:34" ht="3" customHeight="1" x14ac:dyDescent="0.3"/>
    <row r="220" spans="2:34" x14ac:dyDescent="0.3">
      <c r="C220" s="2" t="s">
        <v>561</v>
      </c>
      <c r="H220" s="77" t="str">
        <f>$H$10</f>
      </c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Y220" s="90">
        <f t="shared" ref="Y220:AH235" si="190">IFERROR(_xlfn.FORECAST.LINEAR(Y$132, $J220:$U220, $J$132:$U$132), 0)</f>
      </c>
      <c r="Z220" s="90">
        <f t="shared" si="190"/>
      </c>
      <c r="AA220" s="90">
        <f t="shared" si="190"/>
      </c>
      <c r="AB220" s="90">
        <f t="shared" si="190"/>
      </c>
      <c r="AC220" s="90">
        <f t="shared" si="190"/>
      </c>
      <c r="AD220" s="90">
        <f t="shared" si="190"/>
      </c>
      <c r="AE220" s="90">
        <f t="shared" si="190"/>
      </c>
      <c r="AF220" s="90">
        <f t="shared" si="190"/>
      </c>
      <c r="AG220" s="90">
        <f t="shared" si="190"/>
      </c>
      <c r="AH220" s="90">
        <f t="shared" si="190"/>
      </c>
    </row>
    <row r="221" spans="2:34" x14ac:dyDescent="0.3">
      <c r="D221" t="s">
        <v>551</v>
      </c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Y221" s="90">
        <f t="shared" si="190"/>
      </c>
      <c r="Z221" s="90">
        <f t="shared" si="190"/>
      </c>
      <c r="AA221" s="90">
        <f t="shared" si="190"/>
      </c>
      <c r="AB221" s="90">
        <f t="shared" si="190"/>
      </c>
      <c r="AC221" s="90">
        <f t="shared" si="190"/>
      </c>
      <c r="AD221" s="90">
        <f t="shared" si="190"/>
      </c>
      <c r="AE221" s="90">
        <f t="shared" si="190"/>
      </c>
      <c r="AF221" s="90">
        <f t="shared" si="190"/>
      </c>
      <c r="AG221" s="90">
        <f t="shared" si="190"/>
      </c>
      <c r="AH221" s="90">
        <f t="shared" si="190"/>
      </c>
    </row>
    <row r="222" spans="2:34" x14ac:dyDescent="0.3">
      <c r="D222" t="s">
        <v>547</v>
      </c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Y222" s="90">
        <f t="shared" si="190"/>
      </c>
      <c r="Z222" s="90">
        <f t="shared" si="190"/>
      </c>
      <c r="AA222" s="90">
        <f t="shared" si="190"/>
      </c>
      <c r="AB222" s="90">
        <f t="shared" si="190"/>
      </c>
      <c r="AC222" s="90">
        <f t="shared" si="190"/>
      </c>
      <c r="AD222" s="90">
        <f t="shared" si="190"/>
      </c>
      <c r="AE222" s="90">
        <f t="shared" si="190"/>
      </c>
      <c r="AF222" s="90">
        <f t="shared" si="190"/>
      </c>
      <c r="AG222" s="90">
        <f t="shared" si="190"/>
      </c>
      <c r="AH222" s="90">
        <f t="shared" si="190"/>
      </c>
    </row>
    <row r="223" spans="2:34" x14ac:dyDescent="0.3">
      <c r="D223" t="s">
        <v>552</v>
      </c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Y223" s="90">
        <f t="shared" si="190"/>
      </c>
      <c r="Z223" s="90">
        <f t="shared" si="190"/>
      </c>
      <c r="AA223" s="90">
        <f t="shared" si="190"/>
      </c>
      <c r="AB223" s="90">
        <f t="shared" si="190"/>
      </c>
      <c r="AC223" s="90">
        <f t="shared" si="190"/>
      </c>
      <c r="AD223" s="90">
        <f t="shared" si="190"/>
      </c>
      <c r="AE223" s="90">
        <f t="shared" si="190"/>
      </c>
      <c r="AF223" s="90">
        <f t="shared" si="190"/>
      </c>
      <c r="AG223" s="90">
        <f t="shared" si="190"/>
      </c>
      <c r="AH223" s="90">
        <f t="shared" si="190"/>
      </c>
    </row>
    <row r="224" spans="2:34" x14ac:dyDescent="0.3">
      <c r="D224" t="s">
        <v>546</v>
      </c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Y224" s="90">
        <f t="shared" si="190"/>
      </c>
      <c r="Z224" s="90">
        <f t="shared" si="190"/>
      </c>
      <c r="AA224" s="90">
        <f t="shared" si="190"/>
      </c>
      <c r="AB224" s="90">
        <f t="shared" si="190"/>
      </c>
      <c r="AC224" s="90">
        <f t="shared" si="190"/>
      </c>
      <c r="AD224" s="90">
        <f t="shared" si="190"/>
      </c>
      <c r="AE224" s="90">
        <f t="shared" si="190"/>
      </c>
      <c r="AF224" s="90">
        <f t="shared" si="190"/>
      </c>
      <c r="AG224" s="90">
        <f t="shared" si="190"/>
      </c>
      <c r="AH224" s="90">
        <f t="shared" si="190"/>
      </c>
    </row>
    <row r="225" spans="3:34" x14ac:dyDescent="0.3">
      <c r="D225" t="s">
        <v>553</v>
      </c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Y225" s="90">
        <f t="shared" si="190"/>
      </c>
      <c r="Z225" s="90">
        <f t="shared" si="190"/>
      </c>
      <c r="AA225" s="90">
        <f t="shared" si="190"/>
      </c>
      <c r="AB225" s="90">
        <f t="shared" si="190"/>
      </c>
      <c r="AC225" s="90">
        <f t="shared" si="190"/>
      </c>
      <c r="AD225" s="90">
        <f t="shared" si="190"/>
      </c>
      <c r="AE225" s="90">
        <f t="shared" si="190"/>
      </c>
      <c r="AF225" s="90">
        <f t="shared" si="190"/>
      </c>
      <c r="AG225" s="90">
        <f t="shared" si="190"/>
      </c>
      <c r="AH225" s="90">
        <f t="shared" si="190"/>
      </c>
    </row>
    <row r="226" spans="3:34" x14ac:dyDescent="0.3">
      <c r="D226" t="s">
        <v>544</v>
      </c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Y226" s="90">
        <f t="shared" si="190"/>
      </c>
      <c r="Z226" s="90">
        <f t="shared" si="190"/>
      </c>
      <c r="AA226" s="90">
        <f t="shared" si="190"/>
      </c>
      <c r="AB226" s="90">
        <f t="shared" si="190"/>
      </c>
      <c r="AC226" s="90">
        <f t="shared" si="190"/>
      </c>
      <c r="AD226" s="90">
        <f t="shared" si="190"/>
      </c>
      <c r="AE226" s="90">
        <f t="shared" si="190"/>
      </c>
      <c r="AF226" s="90">
        <f t="shared" si="190"/>
      </c>
      <c r="AG226" s="90">
        <f t="shared" si="190"/>
      </c>
      <c r="AH226" s="90">
        <f t="shared" si="190"/>
      </c>
    </row>
    <row r="227" spans="3:34" x14ac:dyDescent="0.3">
      <c r="D227" t="s">
        <v>545</v>
      </c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Y227" s="90">
        <f t="shared" si="190"/>
      </c>
      <c r="Z227" s="90">
        <f t="shared" si="190"/>
      </c>
      <c r="AA227" s="90">
        <f t="shared" si="190"/>
      </c>
      <c r="AB227" s="90">
        <f t="shared" si="190"/>
      </c>
      <c r="AC227" s="90">
        <f t="shared" si="190"/>
      </c>
      <c r="AD227" s="90">
        <f t="shared" si="190"/>
      </c>
      <c r="AE227" s="90">
        <f t="shared" si="190"/>
      </c>
      <c r="AF227" s="90">
        <f t="shared" si="190"/>
      </c>
      <c r="AG227" s="90">
        <f t="shared" si="190"/>
      </c>
      <c r="AH227" s="90">
        <f t="shared" si="190"/>
      </c>
    </row>
    <row r="228" spans="3:34" x14ac:dyDescent="0.3">
      <c r="D228" t="s">
        <v>554</v>
      </c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Y228" s="90">
        <f t="shared" si="190"/>
      </c>
      <c r="Z228" s="90">
        <f t="shared" si="190"/>
      </c>
      <c r="AA228" s="90">
        <f t="shared" si="190"/>
      </c>
      <c r="AB228" s="90">
        <f t="shared" si="190"/>
      </c>
      <c r="AC228" s="90">
        <f t="shared" si="190"/>
      </c>
      <c r="AD228" s="90">
        <f t="shared" si="190"/>
      </c>
      <c r="AE228" s="90">
        <f t="shared" si="190"/>
      </c>
      <c r="AF228" s="90">
        <f t="shared" si="190"/>
      </c>
      <c r="AG228" s="90">
        <f t="shared" si="190"/>
      </c>
      <c r="AH228" s="90">
        <f t="shared" si="190"/>
      </c>
    </row>
    <row r="229" spans="3:34" x14ac:dyDescent="0.3">
      <c r="C229" s="2" t="s">
        <v>555</v>
      </c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Y229" s="90">
        <f t="shared" si="190"/>
      </c>
      <c r="Z229" s="90">
        <f t="shared" si="190"/>
      </c>
      <c r="AA229" s="90">
        <f t="shared" si="190"/>
      </c>
      <c r="AB229" s="90">
        <f t="shared" si="190"/>
      </c>
      <c r="AC229" s="90">
        <f t="shared" si="190"/>
      </c>
      <c r="AD229" s="90">
        <f t="shared" si="190"/>
      </c>
      <c r="AE229" s="90">
        <f t="shared" si="190"/>
      </c>
      <c r="AF229" s="90">
        <f t="shared" si="190"/>
      </c>
      <c r="AG229" s="90">
        <f t="shared" si="190"/>
      </c>
      <c r="AH229" s="90">
        <f t="shared" si="190"/>
      </c>
    </row>
    <row r="230" spans="3:34" x14ac:dyDescent="0.3">
      <c r="C230" s="2" t="s">
        <v>567</v>
      </c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Y230" s="90">
        <f t="shared" si="190"/>
      </c>
      <c r="Z230" s="90">
        <f t="shared" si="190"/>
      </c>
      <c r="AA230" s="90">
        <f t="shared" si="190"/>
      </c>
      <c r="AB230" s="90">
        <f t="shared" si="190"/>
      </c>
      <c r="AC230" s="90">
        <f t="shared" si="190"/>
      </c>
      <c r="AD230" s="90">
        <f t="shared" si="190"/>
      </c>
      <c r="AE230" s="90">
        <f t="shared" si="190"/>
      </c>
      <c r="AF230" s="90">
        <f t="shared" si="190"/>
      </c>
      <c r="AG230" s="90">
        <f t="shared" si="190"/>
      </c>
      <c r="AH230" s="90">
        <f t="shared" si="190"/>
      </c>
    </row>
    <row r="231" spans="3:34" x14ac:dyDescent="0.3">
      <c r="D231" t="s">
        <v>548</v>
      </c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Y231" s="90">
        <f t="shared" si="190"/>
      </c>
      <c r="Z231" s="90">
        <f t="shared" si="190"/>
      </c>
      <c r="AA231" s="90">
        <f t="shared" si="190"/>
      </c>
      <c r="AB231" s="90">
        <f t="shared" si="190"/>
      </c>
      <c r="AC231" s="90">
        <f t="shared" si="190"/>
      </c>
      <c r="AD231" s="90">
        <f t="shared" si="190"/>
      </c>
      <c r="AE231" s="90">
        <f t="shared" si="190"/>
      </c>
      <c r="AF231" s="90">
        <f t="shared" si="190"/>
      </c>
      <c r="AG231" s="90">
        <f t="shared" si="190"/>
      </c>
      <c r="AH231" s="90">
        <f t="shared" si="190"/>
      </c>
    </row>
    <row r="232" spans="3:34" x14ac:dyDescent="0.3">
      <c r="D232" t="s">
        <v>556</v>
      </c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Y232" s="90">
        <f t="shared" si="190"/>
      </c>
      <c r="Z232" s="90">
        <f t="shared" si="190"/>
      </c>
      <c r="AA232" s="90">
        <f t="shared" si="190"/>
      </c>
      <c r="AB232" s="90">
        <f t="shared" si="190"/>
      </c>
      <c r="AC232" s="90">
        <f t="shared" si="190"/>
      </c>
      <c r="AD232" s="90">
        <f t="shared" si="190"/>
      </c>
      <c r="AE232" s="90">
        <f t="shared" si="190"/>
      </c>
      <c r="AF232" s="90">
        <f t="shared" si="190"/>
      </c>
      <c r="AG232" s="90">
        <f t="shared" si="190"/>
      </c>
      <c r="AH232" s="90">
        <f t="shared" si="190"/>
      </c>
    </row>
    <row r="233" spans="3:34" x14ac:dyDescent="0.3">
      <c r="D233" t="s">
        <v>557</v>
      </c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Y233" s="90">
        <f t="shared" si="190"/>
      </c>
      <c r="Z233" s="90">
        <f t="shared" si="190"/>
      </c>
      <c r="AA233" s="90">
        <f t="shared" si="190"/>
      </c>
      <c r="AB233" s="90">
        <f t="shared" si="190"/>
      </c>
      <c r="AC233" s="90">
        <f t="shared" si="190"/>
      </c>
      <c r="AD233" s="90">
        <f t="shared" si="190"/>
      </c>
      <c r="AE233" s="90">
        <f t="shared" si="190"/>
      </c>
      <c r="AF233" s="90">
        <f t="shared" si="190"/>
      </c>
      <c r="AG233" s="90">
        <f t="shared" si="190"/>
      </c>
      <c r="AH233" s="90">
        <f t="shared" si="190"/>
      </c>
    </row>
    <row r="234" spans="3:34" x14ac:dyDescent="0.3">
      <c r="D234" t="s">
        <v>549</v>
      </c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Y234" s="90">
        <f t="shared" si="190"/>
      </c>
      <c r="Z234" s="90">
        <f t="shared" si="190"/>
      </c>
      <c r="AA234" s="90">
        <f t="shared" si="190"/>
      </c>
      <c r="AB234" s="90">
        <f t="shared" si="190"/>
      </c>
      <c r="AC234" s="90">
        <f t="shared" si="190"/>
      </c>
      <c r="AD234" s="90">
        <f t="shared" si="190"/>
      </c>
      <c r="AE234" s="90">
        <f t="shared" si="190"/>
      </c>
      <c r="AF234" s="90">
        <f t="shared" si="190"/>
      </c>
      <c r="AG234" s="90">
        <f t="shared" si="190"/>
      </c>
      <c r="AH234" s="90">
        <f t="shared" si="190"/>
      </c>
    </row>
    <row r="235" spans="3:34" x14ac:dyDescent="0.3">
      <c r="D235" t="s">
        <v>550</v>
      </c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Y235" s="90">
        <f t="shared" si="190"/>
      </c>
      <c r="Z235" s="90">
        <f t="shared" si="190"/>
      </c>
      <c r="AA235" s="90">
        <f t="shared" si="190"/>
      </c>
      <c r="AB235" s="90">
        <f t="shared" si="190"/>
      </c>
      <c r="AC235" s="90">
        <f t="shared" si="190"/>
      </c>
      <c r="AD235" s="90">
        <f t="shared" si="190"/>
      </c>
      <c r="AE235" s="90">
        <f t="shared" si="190"/>
      </c>
      <c r="AF235" s="90">
        <f t="shared" si="190"/>
      </c>
      <c r="AG235" s="90">
        <f t="shared" si="190"/>
      </c>
      <c r="AH235" s="90">
        <f t="shared" si="190"/>
      </c>
    </row>
    <row r="236" spans="3:34" x14ac:dyDescent="0.3">
      <c r="D236" t="s">
        <v>558</v>
      </c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Y236" s="90">
        <f t="shared" ref="Y236:AH237" si="191">IFERROR(_xlfn.FORECAST.LINEAR(Y$132, $J236:$U236, $J$132:$U$132), 0)</f>
      </c>
      <c r="Z236" s="90">
        <f t="shared" si="191"/>
      </c>
      <c r="AA236" s="90">
        <f t="shared" si="191"/>
      </c>
      <c r="AB236" s="90">
        <f t="shared" si="191"/>
      </c>
      <c r="AC236" s="90">
        <f t="shared" si="191"/>
      </c>
      <c r="AD236" s="90">
        <f t="shared" si="191"/>
      </c>
      <c r="AE236" s="90">
        <f t="shared" si="191"/>
      </c>
      <c r="AF236" s="90">
        <f t="shared" si="191"/>
      </c>
      <c r="AG236" s="90">
        <f t="shared" si="191"/>
      </c>
      <c r="AH236" s="90">
        <f t="shared" si="191"/>
      </c>
    </row>
    <row r="237" spans="3:34" ht="18" x14ac:dyDescent="0.35">
      <c r="C237" s="24" t="s">
        <v>559</v>
      </c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Y237" s="94">
        <f t="shared" si="191"/>
      </c>
      <c r="Z237" s="94">
        <f t="shared" si="191"/>
      </c>
      <c r="AA237" s="94">
        <f t="shared" si="191"/>
      </c>
      <c r="AB237" s="94">
        <f t="shared" si="191"/>
      </c>
      <c r="AC237" s="94">
        <f t="shared" si="191"/>
      </c>
      <c r="AD237" s="94">
        <f t="shared" si="191"/>
      </c>
      <c r="AE237" s="94">
        <f t="shared" si="191"/>
      </c>
      <c r="AF237" s="94">
        <f t="shared" si="191"/>
      </c>
      <c r="AG237" s="94">
        <f t="shared" si="191"/>
      </c>
      <c r="AH237" s="94">
        <f t="shared" si="191"/>
      </c>
    </row>
    <row r="238" spans="3:34" ht="3" customHeight="1" x14ac:dyDescent="0.3"/>
    <row r="239" spans="3:34" ht="18" x14ac:dyDescent="0.35">
      <c r="C239" s="24" t="s">
        <v>562</v>
      </c>
    </row>
    <row r="240" spans="3:34" x14ac:dyDescent="0.3">
      <c r="C240" s="2" t="s">
        <v>561</v>
      </c>
      <c r="J240" s="214">
        <f>IFERROR(J220/J$237, 0)</f>
      </c>
      <c r="K240" s="214">
        <f t="shared" ref="K240:U240" si="192">IFERROR(K220/K$237, 0)</f>
      </c>
      <c r="L240" s="214">
        <f t="shared" si="192"/>
      </c>
      <c r="M240" s="214">
        <f t="shared" si="192"/>
      </c>
      <c r="N240" s="214">
        <f t="shared" si="192"/>
      </c>
      <c r="O240" s="214">
        <f t="shared" si="192"/>
      </c>
      <c r="P240" s="214">
        <f t="shared" si="192"/>
      </c>
      <c r="Q240" s="214">
        <f t="shared" si="192"/>
      </c>
      <c r="R240" s="214">
        <f t="shared" si="192"/>
      </c>
      <c r="S240" s="214">
        <f t="shared" si="192"/>
      </c>
      <c r="T240" s="214">
        <f t="shared" si="192"/>
      </c>
      <c r="U240" s="214">
        <f t="shared" si="192"/>
      </c>
    </row>
    <row r="241" spans="3:21" x14ac:dyDescent="0.3">
      <c r="D241" t="s">
        <v>560</v>
      </c>
      <c r="J241" s="85">
        <f>IFERROR((J221+J222)/J$237, 0)</f>
      </c>
      <c r="K241" s="85">
        <f t="shared" ref="K241:U241" si="193">IFERROR((K221+K222)/K$237, 0)</f>
      </c>
      <c r="L241" s="85">
        <f t="shared" si="193"/>
      </c>
      <c r="M241" s="85">
        <f t="shared" si="193"/>
      </c>
      <c r="N241" s="85">
        <f t="shared" si="193"/>
      </c>
      <c r="O241" s="85">
        <f t="shared" si="193"/>
      </c>
      <c r="P241" s="85">
        <f t="shared" si="193"/>
      </c>
      <c r="Q241" s="85">
        <f t="shared" si="193"/>
      </c>
      <c r="R241" s="85">
        <f t="shared" si="193"/>
      </c>
      <c r="S241" s="85">
        <f t="shared" si="193"/>
      </c>
      <c r="T241" s="85">
        <f t="shared" si="193"/>
      </c>
      <c r="U241" s="85">
        <f t="shared" si="193"/>
      </c>
    </row>
    <row r="242" spans="3:21" x14ac:dyDescent="0.3">
      <c r="D242" t="s">
        <v>552</v>
      </c>
      <c r="J242" s="85">
        <f>IFERROR(J223/J$237, 0)</f>
      </c>
      <c r="K242" s="85">
        <f t="shared" ref="K242:U242" si="194">IFERROR(K223/K$237, 0)</f>
      </c>
      <c r="L242" s="85">
        <f t="shared" si="194"/>
      </c>
      <c r="M242" s="85">
        <f t="shared" si="194"/>
      </c>
      <c r="N242" s="85">
        <f t="shared" si="194"/>
      </c>
      <c r="O242" s="85">
        <f t="shared" si="194"/>
      </c>
      <c r="P242" s="85">
        <f t="shared" si="194"/>
      </c>
      <c r="Q242" s="85">
        <f t="shared" si="194"/>
      </c>
      <c r="R242" s="85">
        <f t="shared" si="194"/>
      </c>
      <c r="S242" s="85">
        <f t="shared" si="194"/>
      </c>
      <c r="T242" s="85">
        <f t="shared" si="194"/>
      </c>
      <c r="U242" s="85">
        <f t="shared" si="194"/>
      </c>
    </row>
    <row r="243" spans="3:21" x14ac:dyDescent="0.3">
      <c r="D243" t="s">
        <v>546</v>
      </c>
      <c r="J243" s="85">
        <f>IFERROR(J224/J$237, 0)</f>
      </c>
      <c r="K243" s="85">
        <f t="shared" ref="K243:U243" si="195">IFERROR(K224/K$237, 0)</f>
      </c>
      <c r="L243" s="85">
        <f t="shared" si="195"/>
      </c>
      <c r="M243" s="85">
        <f t="shared" si="195"/>
      </c>
      <c r="N243" s="85">
        <f t="shared" si="195"/>
      </c>
      <c r="O243" s="85">
        <f t="shared" si="195"/>
      </c>
      <c r="P243" s="85">
        <f t="shared" si="195"/>
      </c>
      <c r="Q243" s="85">
        <f t="shared" si="195"/>
      </c>
      <c r="R243" s="85">
        <f t="shared" si="195"/>
      </c>
      <c r="S243" s="85">
        <f t="shared" si="195"/>
      </c>
      <c r="T243" s="85">
        <f t="shared" si="195"/>
      </c>
      <c r="U243" s="85">
        <f t="shared" si="195"/>
      </c>
    </row>
    <row r="244" spans="3:21" x14ac:dyDescent="0.3">
      <c r="D244" t="s">
        <v>544</v>
      </c>
      <c r="J244" s="85">
        <f>IFERROR(J226/J$237, 0)</f>
      </c>
      <c r="K244" s="85">
        <f t="shared" ref="K244:U244" si="196">IFERROR(K226/K$237, 0)</f>
      </c>
      <c r="L244" s="85">
        <f t="shared" si="196"/>
      </c>
      <c r="M244" s="85">
        <f t="shared" si="196"/>
      </c>
      <c r="N244" s="85">
        <f t="shared" si="196"/>
      </c>
      <c r="O244" s="85">
        <f t="shared" si="196"/>
      </c>
      <c r="P244" s="85">
        <f t="shared" si="196"/>
      </c>
      <c r="Q244" s="85">
        <f t="shared" si="196"/>
      </c>
      <c r="R244" s="85">
        <f t="shared" si="196"/>
      </c>
      <c r="S244" s="85">
        <f t="shared" si="196"/>
      </c>
      <c r="T244" s="85">
        <f t="shared" si="196"/>
      </c>
      <c r="U244" s="85">
        <f t="shared" si="196"/>
      </c>
    </row>
    <row r="245" spans="3:21" x14ac:dyDescent="0.3">
      <c r="D245" t="s">
        <v>545</v>
      </c>
      <c r="J245" s="85">
        <f>IFERROR(J228/J$237, 0)</f>
      </c>
      <c r="K245" s="85">
        <f t="shared" ref="K245:U245" si="197">IFERROR(K228/K$237, 0)</f>
      </c>
      <c r="L245" s="85">
        <f t="shared" si="197"/>
      </c>
      <c r="M245" s="85">
        <f t="shared" si="197"/>
      </c>
      <c r="N245" s="85">
        <f t="shared" si="197"/>
      </c>
      <c r="O245" s="85">
        <f t="shared" si="197"/>
      </c>
      <c r="P245" s="85">
        <f t="shared" si="197"/>
      </c>
      <c r="Q245" s="85">
        <f t="shared" si="197"/>
      </c>
      <c r="R245" s="85">
        <f t="shared" si="197"/>
      </c>
      <c r="S245" s="85">
        <f t="shared" si="197"/>
      </c>
      <c r="T245" s="85">
        <f t="shared" si="197"/>
      </c>
      <c r="U245" s="85">
        <f t="shared" si="197"/>
      </c>
    </row>
    <row r="246" spans="3:21" x14ac:dyDescent="0.3">
      <c r="C246" s="2" t="s">
        <v>555</v>
      </c>
      <c r="J246" s="214">
        <f>IFERROR(J229/J$237, 0)</f>
      </c>
      <c r="K246" s="214">
        <f t="shared" ref="K246:U246" si="198">IFERROR(K229/K$237, 0)</f>
      </c>
      <c r="L246" s="214">
        <f t="shared" si="198"/>
      </c>
      <c r="M246" s="214">
        <f t="shared" si="198"/>
      </c>
      <c r="N246" s="214">
        <f t="shared" si="198"/>
      </c>
      <c r="O246" s="214">
        <f t="shared" si="198"/>
      </c>
      <c r="P246" s="214">
        <f t="shared" si="198"/>
      </c>
      <c r="Q246" s="214">
        <f t="shared" si="198"/>
      </c>
      <c r="R246" s="214">
        <f t="shared" si="198"/>
      </c>
      <c r="S246" s="214">
        <f t="shared" si="198"/>
      </c>
      <c r="T246" s="214">
        <f t="shared" si="198"/>
      </c>
      <c r="U246" s="214">
        <f t="shared" si="198"/>
      </c>
    </row>
    <row r="247" spans="3:21" x14ac:dyDescent="0.3">
      <c r="C247" s="2" t="s">
        <v>567</v>
      </c>
      <c r="J247" s="214">
        <f>IFERROR(J230/J$237, 0)</f>
      </c>
      <c r="K247" s="214">
        <f t="shared" ref="K247:U247" si="199">IFERROR(K230/K$237, 0)</f>
      </c>
      <c r="L247" s="214">
        <f t="shared" si="199"/>
      </c>
      <c r="M247" s="214">
        <f t="shared" si="199"/>
      </c>
      <c r="N247" s="214">
        <f t="shared" si="199"/>
      </c>
      <c r="O247" s="214">
        <f t="shared" si="199"/>
      </c>
      <c r="P247" s="214">
        <f t="shared" si="199"/>
      </c>
      <c r="Q247" s="214">
        <f t="shared" si="199"/>
      </c>
      <c r="R247" s="214">
        <f t="shared" si="199"/>
      </c>
      <c r="S247" s="214">
        <f t="shared" si="199"/>
      </c>
      <c r="T247" s="214">
        <f t="shared" si="199"/>
      </c>
      <c r="U247" s="214">
        <f t="shared" si="199"/>
      </c>
    </row>
    <row r="248" spans="3:21" ht="3" customHeight="1" x14ac:dyDescent="0.3"/>
    <row r="249" spans="3:21" ht="18" x14ac:dyDescent="0.35">
      <c r="C249" s="24" t="s">
        <v>105</v>
      </c>
    </row>
    <row r="250" spans="3:21" x14ac:dyDescent="0.3">
      <c r="C250" s="2" t="s">
        <v>561</v>
      </c>
      <c r="J250" s="214"/>
      <c r="K250" s="214">
        <f>IFERROR(K220/J220-1, 0)</f>
      </c>
      <c r="L250" s="214">
        <f t="shared" ref="L250:U250" si="200">IFERROR(L220/K220-1, 0)</f>
      </c>
      <c r="M250" s="214">
        <f t="shared" si="200"/>
      </c>
      <c r="N250" s="214">
        <f t="shared" si="200"/>
      </c>
      <c r="O250" s="214">
        <f t="shared" si="200"/>
      </c>
      <c r="P250" s="214">
        <f t="shared" si="200"/>
      </c>
      <c r="Q250" s="214">
        <f t="shared" si="200"/>
      </c>
      <c r="R250" s="214">
        <f t="shared" si="200"/>
      </c>
      <c r="S250" s="214">
        <f t="shared" si="200"/>
      </c>
      <c r="T250" s="214">
        <f t="shared" si="200"/>
      </c>
      <c r="U250" s="214">
        <f t="shared" si="200"/>
      </c>
    </row>
    <row r="251" spans="3:21" x14ac:dyDescent="0.3">
      <c r="D251" t="s">
        <v>560</v>
      </c>
      <c r="J251" s="85"/>
      <c r="K251" s="85">
        <f t="shared" ref="K251:U251" si="201">IFERROR(K221/J221-1, 0)</f>
      </c>
      <c r="L251" s="85">
        <f t="shared" si="201"/>
      </c>
      <c r="M251" s="85">
        <f t="shared" si="201"/>
      </c>
      <c r="N251" s="85">
        <f t="shared" si="201"/>
      </c>
      <c r="O251" s="85">
        <f t="shared" si="201"/>
      </c>
      <c r="P251" s="85">
        <f t="shared" si="201"/>
      </c>
      <c r="Q251" s="85">
        <f t="shared" si="201"/>
      </c>
      <c r="R251" s="85">
        <f t="shared" si="201"/>
      </c>
      <c r="S251" s="85">
        <f t="shared" si="201"/>
      </c>
      <c r="T251" s="85">
        <f t="shared" si="201"/>
      </c>
      <c r="U251" s="85">
        <f t="shared" si="201"/>
      </c>
    </row>
    <row r="252" spans="3:21" x14ac:dyDescent="0.3">
      <c r="C252" s="2" t="s">
        <v>555</v>
      </c>
      <c r="J252" s="214"/>
      <c r="K252" s="214">
        <f>IFERROR(K229/J229-1, 0)</f>
      </c>
      <c r="L252" s="214">
        <f t="shared" ref="L252:U252" si="202">IFERROR(L229/K229-1, 0)</f>
      </c>
      <c r="M252" s="214">
        <f t="shared" si="202"/>
      </c>
      <c r="N252" s="214">
        <f t="shared" si="202"/>
      </c>
      <c r="O252" s="214">
        <f t="shared" si="202"/>
      </c>
      <c r="P252" s="214">
        <f t="shared" si="202"/>
      </c>
      <c r="Q252" s="214">
        <f t="shared" si="202"/>
      </c>
      <c r="R252" s="214">
        <f t="shared" si="202"/>
      </c>
      <c r="S252" s="214">
        <f t="shared" si="202"/>
      </c>
      <c r="T252" s="214">
        <f t="shared" si="202"/>
      </c>
      <c r="U252" s="214">
        <f t="shared" si="202"/>
      </c>
    </row>
    <row r="253" spans="3:21" x14ac:dyDescent="0.3">
      <c r="C253" s="2" t="s">
        <v>567</v>
      </c>
      <c r="J253" s="214"/>
      <c r="K253" s="214">
        <f>IFERROR(K230/J230-1, 0)</f>
      </c>
      <c r="L253" s="214">
        <f t="shared" ref="L253:U253" si="203">IFERROR(L230/K230-1, 0)</f>
      </c>
      <c r="M253" s="214">
        <f t="shared" si="203"/>
      </c>
      <c r="N253" s="214">
        <f t="shared" si="203"/>
      </c>
      <c r="O253" s="214">
        <f t="shared" si="203"/>
      </c>
      <c r="P253" s="214">
        <f t="shared" si="203"/>
      </c>
      <c r="Q253" s="214">
        <f t="shared" si="203"/>
      </c>
      <c r="R253" s="214">
        <f t="shared" si="203"/>
      </c>
      <c r="S253" s="214">
        <f t="shared" si="203"/>
      </c>
      <c r="T253" s="214">
        <f t="shared" si="203"/>
      </c>
      <c r="U253" s="214">
        <f t="shared" si="203"/>
      </c>
    </row>
    <row r="254" spans="3:21" x14ac:dyDescent="0.3"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</row>
    <row r="256" spans="3:21" x14ac:dyDescent="0.3">
      <c r="U256" s="227" t="str">
        <f>$U$2</f>
      </c>
    </row>
    <row r="257" spans="2:34" ht="18" x14ac:dyDescent="0.35">
      <c r="B257" s="148" t="str">
        <f>'Assumptions&amp;Scenario'!$K$10</f>
      </c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</row>
    <row r="258" spans="2:34" ht="18" thickBot="1" x14ac:dyDescent="0.35">
      <c r="B258" s="47" t="s">
        <v>407</v>
      </c>
      <c r="C258" s="48"/>
      <c r="D258" s="48"/>
      <c r="E258" s="48"/>
      <c r="F258" s="48"/>
      <c r="G258" s="48"/>
      <c r="H258" s="49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</row>
    <row r="259" spans="2:34" ht="15" thickBot="1" x14ac:dyDescent="0.35">
      <c r="C259" s="2"/>
      <c r="D259" s="2"/>
      <c r="E259" s="2"/>
      <c r="F259" s="2"/>
      <c r="L259" s="42" t="s">
        <v>141</v>
      </c>
      <c r="M259" s="42"/>
      <c r="N259" s="42"/>
      <c r="O259" s="42"/>
      <c r="P259" s="42"/>
      <c r="Q259" s="42"/>
      <c r="R259" s="42"/>
      <c r="S259" s="42"/>
      <c r="T259" s="42"/>
      <c r="U259" s="42"/>
    </row>
    <row r="260" spans="2:34" ht="16.2" thickTop="1" x14ac:dyDescent="0.3">
      <c r="C260" s="43" t="s">
        <v>389</v>
      </c>
      <c r="D260" s="43"/>
      <c r="E260" s="43"/>
      <c r="F260" s="43"/>
      <c r="G260" s="43"/>
      <c r="H260" s="44"/>
      <c r="I260" s="44"/>
      <c r="J260" s="44" t="str">
        <f>"FY"&amp;TEXT(RIGHT(K260,2)-(COLUMN(K260)-COLUMN()),"00")</f>
      </c>
      <c r="K260" s="44" t="str">
        <f>"FY"&amp;TEXT(DATE(YEAR('Data Sheet'!$K$16)+(MONTH('Data Sheet'!$K$16)&gt;3),1,1),"YY")</f>
      </c>
      <c r="L260" s="44" t="str">
        <f t="shared" ref="L260:U260" si="204">"FY"&amp;TEXT(RIGHT(K260,2)+COLUMN()-COLUMN(K260),"00")</f>
      </c>
      <c r="M260" s="44" t="str">
        <f t="shared" si="204"/>
      </c>
      <c r="N260" s="44" t="str">
        <f t="shared" si="204"/>
      </c>
      <c r="O260" s="44" t="str">
        <f t="shared" si="204"/>
      </c>
      <c r="P260" s="44" t="str">
        <f t="shared" si="204"/>
      </c>
      <c r="Q260" s="44" t="str">
        <f t="shared" si="204"/>
      </c>
      <c r="R260" s="44" t="str">
        <f t="shared" si="204"/>
      </c>
      <c r="S260" s="44" t="str">
        <f t="shared" si="204"/>
      </c>
      <c r="T260" s="44" t="str">
        <f t="shared" si="204"/>
      </c>
      <c r="U260" s="44" t="str">
        <f t="shared" si="204"/>
      </c>
    </row>
    <row r="261" spans="2:34" ht="3" customHeight="1" x14ac:dyDescent="0.3"/>
    <row r="262" spans="2:34" ht="3" customHeight="1" x14ac:dyDescent="0.3"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2:34" ht="3" customHeight="1" x14ac:dyDescent="0.3"/>
    <row r="264" spans="2:34" x14ac:dyDescent="0.3">
      <c r="C264" t="s">
        <v>504</v>
      </c>
      <c r="H264" s="77" t="str">
        <f>$H$10</f>
      </c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</row>
    <row r="265" spans="2:34" x14ac:dyDescent="0.3">
      <c r="C265" t="s">
        <v>96</v>
      </c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</row>
    <row r="266" spans="2:34" ht="18" x14ac:dyDescent="0.35">
      <c r="C266" s="24" t="s">
        <v>505</v>
      </c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</row>
    <row r="267" spans="2:34" ht="3" customHeight="1" x14ac:dyDescent="0.3"/>
    <row r="268" spans="2:34" ht="3" customHeight="1" x14ac:dyDescent="0.3"/>
    <row r="269" spans="2:34" ht="18" x14ac:dyDescent="0.35">
      <c r="C269" s="24" t="s">
        <v>510</v>
      </c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Y269" s="214"/>
      <c r="Z269" s="214"/>
      <c r="AA269" s="214"/>
      <c r="AB269" s="214"/>
      <c r="AC269" s="214"/>
      <c r="AD269" s="214"/>
      <c r="AE269" s="214"/>
      <c r="AF269" s="214"/>
      <c r="AG269" s="214"/>
      <c r="AH269" s="214"/>
    </row>
    <row r="270" spans="2:34" ht="3" customHeight="1" x14ac:dyDescent="0.3"/>
    <row r="271" spans="2:34" x14ac:dyDescent="0.3">
      <c r="C271" t="s">
        <v>4</v>
      </c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</row>
    <row r="272" spans="2:34" ht="18" x14ac:dyDescent="0.35">
      <c r="C272" s="24" t="s">
        <v>511</v>
      </c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</row>
    <row r="273" spans="3:34" ht="3" customHeight="1" x14ac:dyDescent="0.3"/>
    <row r="274" spans="3:34" ht="18" x14ac:dyDescent="0.35">
      <c r="C274" s="24" t="s">
        <v>512</v>
      </c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</row>
    <row r="275" spans="3:34" ht="3" customHeight="1" x14ac:dyDescent="0.3"/>
    <row r="276" spans="3:34" ht="18" x14ac:dyDescent="0.35">
      <c r="C276" s="24" t="s">
        <v>513</v>
      </c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</row>
    <row r="277" spans="3:34" ht="3" customHeight="1" x14ac:dyDescent="0.3"/>
    <row r="278" spans="3:34" x14ac:dyDescent="0.3">
      <c r="C278" s="2" t="s">
        <v>514</v>
      </c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</row>
    <row r="279" spans="3:34" ht="3" customHeight="1" x14ac:dyDescent="0.3"/>
    <row r="280" spans="3:34" x14ac:dyDescent="0.3">
      <c r="C280" t="s">
        <v>8</v>
      </c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</row>
    <row r="281" spans="3:34" ht="18.600000000000001" thickBot="1" x14ac:dyDescent="0.4">
      <c r="C281" s="24" t="s">
        <v>515</v>
      </c>
      <c r="J281" s="220">
        <f>Model!J197</f>
      </c>
      <c r="K281" s="220">
        <f>Model!K197</f>
      </c>
      <c r="L281" s="220">
        <f>Model!L197</f>
      </c>
      <c r="M281" s="220">
        <f>Model!M197</f>
      </c>
      <c r="N281" s="220">
        <f>Model!N197</f>
      </c>
      <c r="O281" s="220">
        <f>Model!O197</f>
      </c>
      <c r="P281" s="220">
        <f>Model!P197</f>
      </c>
      <c r="Q281" s="220">
        <f>Model!Q197</f>
      </c>
      <c r="R281" s="220">
        <f>Model!R197</f>
      </c>
      <c r="S281" s="220">
        <f>Model!S197</f>
      </c>
      <c r="T281" s="220">
        <f>Model!T197</f>
      </c>
      <c r="U281" s="220">
        <f>Model!U197</f>
      </c>
      <c r="AF281" s="90"/>
      <c r="AG281" s="90"/>
      <c r="AH281" s="90"/>
    </row>
    <row r="282" spans="3:34" ht="3" customHeight="1" thickTop="1" x14ac:dyDescent="0.3"/>
    <row r="283" spans="3:34" x14ac:dyDescent="0.3">
      <c r="C283" s="2" t="s">
        <v>516</v>
      </c>
      <c r="Z283" t="s">
        <v>40</v>
      </c>
      <c r="AA283" t="s">
        <v>350</v>
      </c>
      <c r="AB283" t="s">
        <v>622</v>
      </c>
      <c r="AC283" t="s">
        <v>589</v>
      </c>
    </row>
    <row r="284" spans="3:34" x14ac:dyDescent="0.3">
      <c r="D284" t="str">
        <f t="shared" ref="D284:D289" si="205">D30</f>
      </c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Y284" s="71" t="str">
        <f>L260</f>
      </c>
      <c r="Z284" s="40">
        <f>L294</f>
      </c>
      <c r="AA284" s="40">
        <f>L266</f>
      </c>
      <c r="AB284" s="92">
        <f>L269</f>
      </c>
      <c r="AC284" s="40">
        <f>L281</f>
      </c>
      <c r="AD284" s="71"/>
      <c r="AE284" s="71"/>
      <c r="AF284" s="71"/>
      <c r="AG284" s="71"/>
      <c r="AH284" s="71"/>
    </row>
    <row r="285" spans="3:34" x14ac:dyDescent="0.3">
      <c r="D285" t="str">
        <f t="shared" si="205"/>
      </c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Y285" s="71" t="str">
        <f>M260</f>
      </c>
      <c r="Z285" s="40">
        <f>M294</f>
      </c>
      <c r="AA285" s="40">
        <f>M266</f>
      </c>
      <c r="AB285" s="92">
        <f>M269</f>
      </c>
      <c r="AC285" s="40">
        <f>M281</f>
      </c>
      <c r="AD285" s="71"/>
      <c r="AE285" s="71"/>
      <c r="AF285" s="71"/>
      <c r="AG285" s="71"/>
      <c r="AH285" s="71"/>
    </row>
    <row r="286" spans="3:34" x14ac:dyDescent="0.3">
      <c r="D286" t="str">
        <f t="shared" si="205"/>
      </c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Y286" s="71" t="str">
        <f>N260</f>
      </c>
      <c r="Z286" s="40">
        <f>N294</f>
      </c>
      <c r="AA286" s="40">
        <f>N266</f>
      </c>
      <c r="AB286" s="92">
        <f>N269</f>
      </c>
      <c r="AC286" s="40">
        <f>N281</f>
      </c>
      <c r="AD286" s="71"/>
      <c r="AE286" s="71"/>
      <c r="AF286" s="71"/>
      <c r="AG286" s="71"/>
      <c r="AH286" s="71"/>
    </row>
    <row r="287" spans="3:34" x14ac:dyDescent="0.3">
      <c r="D287" t="str">
        <f t="shared" si="205"/>
      </c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</row>
    <row r="288" spans="3:34" x14ac:dyDescent="0.3">
      <c r="D288" t="str">
        <f t="shared" si="205"/>
      </c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</row>
    <row r="289" spans="2:34" x14ac:dyDescent="0.3">
      <c r="D289" t="str">
        <f t="shared" si="205"/>
      </c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</row>
    <row r="290" spans="2:34" ht="3" customHeight="1" x14ac:dyDescent="0.3"/>
    <row r="291" spans="2:34" ht="18.600000000000001" thickBot="1" x14ac:dyDescent="0.4">
      <c r="C291" s="24" t="s">
        <v>523</v>
      </c>
      <c r="J291" s="220">
        <f>Model!J197</f>
      </c>
      <c r="K291" s="220">
        <f>Model!K197</f>
      </c>
      <c r="L291" s="220">
        <f>Model!L197</f>
      </c>
      <c r="M291" s="220">
        <f>Model!M197</f>
      </c>
      <c r="N291" s="220">
        <f>Model!N197</f>
      </c>
      <c r="O291" s="220">
        <f>Model!O197</f>
      </c>
      <c r="P291" s="220">
        <f>Model!P197</f>
      </c>
      <c r="Q291" s="220">
        <f>Model!Q197</f>
      </c>
      <c r="R291" s="220">
        <f>Model!R197</f>
      </c>
      <c r="S291" s="220">
        <f>Model!S197</f>
      </c>
      <c r="T291" s="220">
        <f>Model!T197</f>
      </c>
      <c r="U291" s="220">
        <f>Model!U197</f>
      </c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</row>
    <row r="292" spans="2:34" ht="18.600000000000001" thickTop="1" x14ac:dyDescent="0.35">
      <c r="C292" s="24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</row>
    <row r="293" spans="2:34" x14ac:dyDescent="0.3">
      <c r="C293" s="2" t="s">
        <v>240</v>
      </c>
      <c r="H293" s="77" t="str">
        <f>$H$166</f>
      </c>
      <c r="J293" s="40">
        <f>T39</f>
      </c>
      <c r="K293" s="40">
        <f>U39</f>
      </c>
      <c r="L293" s="40">
        <f>Model!L202</f>
      </c>
      <c r="M293" s="40">
        <f>Model!M202</f>
      </c>
      <c r="N293" s="40">
        <f>Model!N202</f>
      </c>
      <c r="O293" s="40">
        <f>Model!O202</f>
      </c>
      <c r="P293" s="40">
        <f>Model!P202</f>
      </c>
      <c r="Q293" s="40">
        <f>Model!Q202</f>
      </c>
      <c r="R293" s="40">
        <f>Model!R202</f>
      </c>
      <c r="S293" s="40">
        <f>Model!S202</f>
      </c>
      <c r="T293" s="40">
        <f>Model!T202</f>
      </c>
      <c r="U293" s="40">
        <f>Model!U202</f>
      </c>
    </row>
    <row r="294" spans="2:34" x14ac:dyDescent="0.3">
      <c r="C294" s="2" t="s">
        <v>368</v>
      </c>
      <c r="H294" s="77" t="str">
        <f>$H$167</f>
      </c>
      <c r="J294" s="40">
        <f t="shared" ref="J294:K299" si="206">T40</f>
      </c>
      <c r="K294" s="40">
        <f t="shared" si="206"/>
      </c>
      <c r="L294" s="40">
        <f>IFERROR(L291/L293, 0)</f>
      </c>
      <c r="M294" s="40">
        <f t="shared" ref="M294:U294" si="207">IFERROR(M291/M293, 0)</f>
      </c>
      <c r="N294" s="40">
        <f t="shared" si="207"/>
      </c>
      <c r="O294" s="40">
        <f t="shared" si="207"/>
      </c>
      <c r="P294" s="40">
        <f t="shared" si="207"/>
      </c>
      <c r="Q294" s="40">
        <f t="shared" si="207"/>
      </c>
      <c r="R294" s="40">
        <f t="shared" si="207"/>
      </c>
      <c r="S294" s="40">
        <f t="shared" si="207"/>
      </c>
      <c r="T294" s="40">
        <f t="shared" si="207"/>
      </c>
      <c r="U294" s="40">
        <f t="shared" si="207"/>
      </c>
    </row>
    <row r="295" spans="2:34" x14ac:dyDescent="0.3">
      <c r="C295" s="2" t="s">
        <v>116</v>
      </c>
      <c r="H295" s="77" t="str">
        <f>H294</f>
      </c>
      <c r="J295" s="40">
        <f t="shared" si="206"/>
      </c>
      <c r="K295" s="40">
        <f t="shared" si="206"/>
      </c>
      <c r="L295" s="40"/>
      <c r="M295" s="40"/>
      <c r="N295" s="40"/>
      <c r="O295" s="40"/>
      <c r="P295" s="40"/>
      <c r="Q295" s="40"/>
      <c r="R295" s="40"/>
      <c r="S295" s="40"/>
      <c r="T295" s="40"/>
      <c r="U295" s="40"/>
    </row>
    <row r="296" spans="2:34" x14ac:dyDescent="0.3">
      <c r="C296" s="2" t="s">
        <v>241</v>
      </c>
      <c r="H296" s="77" t="str">
        <f>$H$10</f>
      </c>
      <c r="J296" s="40">
        <f t="shared" si="206"/>
      </c>
      <c r="K296" s="40">
        <f t="shared" si="206"/>
      </c>
      <c r="L296" s="40"/>
      <c r="M296" s="40"/>
      <c r="N296" s="40"/>
      <c r="O296" s="40"/>
      <c r="P296" s="40"/>
      <c r="Q296" s="40"/>
      <c r="R296" s="40"/>
      <c r="S296" s="40"/>
      <c r="T296" s="40"/>
      <c r="U296" s="40"/>
    </row>
    <row r="297" spans="2:34" x14ac:dyDescent="0.3">
      <c r="C297" s="2" t="s">
        <v>242</v>
      </c>
      <c r="J297" s="40">
        <f t="shared" si="206"/>
      </c>
      <c r="K297" s="40">
        <f t="shared" si="206"/>
      </c>
      <c r="L297" s="40"/>
      <c r="M297" s="40"/>
      <c r="N297" s="40"/>
      <c r="O297" s="40"/>
      <c r="P297" s="40"/>
      <c r="Q297" s="40"/>
      <c r="R297" s="40"/>
      <c r="S297" s="40"/>
      <c r="T297" s="40"/>
      <c r="U297" s="40"/>
    </row>
    <row r="298" spans="2:34" x14ac:dyDescent="0.3">
      <c r="C298" s="2" t="s">
        <v>357</v>
      </c>
      <c r="H298" s="77" t="str">
        <f>$H$10</f>
      </c>
      <c r="J298" s="40">
        <f t="shared" si="206"/>
      </c>
      <c r="K298" s="40">
        <f t="shared" si="206"/>
      </c>
      <c r="L298" s="40"/>
      <c r="M298" s="40"/>
      <c r="N298" s="40"/>
      <c r="O298" s="40"/>
      <c r="P298" s="40"/>
      <c r="Q298" s="40"/>
      <c r="R298" s="40"/>
      <c r="S298" s="40"/>
      <c r="T298" s="40"/>
      <c r="U298" s="40"/>
    </row>
    <row r="299" spans="2:34" x14ac:dyDescent="0.3">
      <c r="C299" s="2" t="s">
        <v>575</v>
      </c>
      <c r="J299" s="40">
        <f t="shared" si="206"/>
      </c>
      <c r="K299" s="40">
        <f t="shared" si="206"/>
      </c>
      <c r="L299" s="40"/>
      <c r="M299" s="40"/>
      <c r="N299" s="40"/>
      <c r="O299" s="40"/>
      <c r="P299" s="40"/>
      <c r="Q299" s="40"/>
      <c r="R299" s="40"/>
      <c r="S299" s="40"/>
      <c r="T299" s="40"/>
      <c r="U299" s="40"/>
    </row>
    <row r="300" spans="2:34" ht="18" x14ac:dyDescent="0.35">
      <c r="C300" s="24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</row>
    <row r="302" spans="2:34" x14ac:dyDescent="0.3">
      <c r="U302" s="227" t="str">
        <f>$U$2</f>
      </c>
    </row>
    <row r="303" spans="2:34" ht="18" x14ac:dyDescent="0.35">
      <c r="B303" s="148" t="str">
        <f>'Assumptions&amp;Scenario'!$K$10</f>
      </c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</row>
    <row r="304" spans="2:34" ht="18" thickBot="1" x14ac:dyDescent="0.35">
      <c r="B304" s="47" t="s">
        <v>408</v>
      </c>
      <c r="C304" s="48"/>
      <c r="D304" s="48"/>
      <c r="E304" s="48"/>
      <c r="F304" s="48"/>
      <c r="G304" s="48"/>
      <c r="H304" s="49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</row>
    <row r="305" spans="3:34" ht="15" thickBot="1" x14ac:dyDescent="0.35">
      <c r="C305" s="2"/>
      <c r="D305" s="2"/>
      <c r="E305" s="2"/>
      <c r="F305" s="2"/>
      <c r="L305" s="80" t="s">
        <v>141</v>
      </c>
      <c r="M305" s="80"/>
      <c r="N305" s="42"/>
      <c r="O305" s="42"/>
      <c r="P305" s="42"/>
      <c r="Q305" s="42"/>
      <c r="R305" s="42"/>
      <c r="S305" s="42"/>
      <c r="T305" s="42"/>
      <c r="U305" s="42"/>
    </row>
    <row r="306" spans="3:34" ht="16.2" thickTop="1" x14ac:dyDescent="0.3">
      <c r="C306" s="43" t="s">
        <v>25</v>
      </c>
      <c r="D306" s="43"/>
      <c r="E306" s="43"/>
      <c r="F306" s="43"/>
      <c r="G306" s="43"/>
      <c r="H306" s="44"/>
      <c r="I306" s="44"/>
      <c r="J306" s="44" t="str">
        <f>"FY"&amp;TEXT(MID(K306,3,2)-IF(RIGHT(K306,1)="1",1,0),"00")&amp;"Q"&amp;CHOOSE(RIGHT(K306,1)+0,4,1,2,3)</f>
      </c>
      <c r="K306" s="44" t="str">
        <f>"FY"&amp;TEXT(MID(L306,3,2)-IF(RIGHT(L306,1)="1",1,0),"00")&amp;"Q"&amp;CHOOSE(RIGHT(L306,1)+0,4,1,2,3)</f>
      </c>
      <c r="L306" s="44" t="str">
        <f>"FY"&amp;TEXT(MID(M306,3,2)-IF(RIGHT(M306,1)="1",1,0),"00")&amp;"Q"&amp;CHOOSE(RIGHT(M306,1)+0,4,1,2,3)</f>
      </c>
      <c r="M306" s="44" t="str">
        <f>"FY"&amp;TEXT(YEAR('Data Sheet'!$K$41)+(MONTH('Data Sheet'!$K$41)&gt;3)-2000,"00")&amp;"Q"&amp;INT((MOD(MONTH('Data Sheet'!$K$41)-4,12))/3)+1</f>
      </c>
      <c r="N306" s="44" t="str">
        <f t="shared" ref="N306:U306" si="208">"FY"&amp;TEXT(MID(M306,3,2)+IF(RIGHT(M306,1)="4",1,0),"00")&amp;"Q"&amp;MOD(RIGHT(M306,1),4)+1</f>
      </c>
      <c r="O306" s="44" t="str">
        <f t="shared" si="208"/>
      </c>
      <c r="P306" s="44" t="str">
        <f t="shared" si="208"/>
      </c>
      <c r="Q306" s="44" t="str">
        <f t="shared" si="208"/>
      </c>
      <c r="R306" s="44" t="str">
        <f t="shared" si="208"/>
      </c>
      <c r="S306" s="44" t="str">
        <f t="shared" si="208"/>
      </c>
      <c r="T306" s="44" t="str">
        <f t="shared" si="208"/>
      </c>
      <c r="U306" s="44" t="str">
        <f t="shared" si="208"/>
      </c>
    </row>
    <row r="307" spans="3:34" ht="3" customHeight="1" x14ac:dyDescent="0.3"/>
    <row r="308" spans="3:34" ht="3" customHeight="1" x14ac:dyDescent="0.3"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3:34" ht="3" customHeight="1" x14ac:dyDescent="0.3"/>
    <row r="310" spans="3:34" x14ac:dyDescent="0.3">
      <c r="C310" t="s">
        <v>504</v>
      </c>
      <c r="H310" s="77" t="str">
        <f>$H$10</f>
      </c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</row>
    <row r="311" spans="3:34" x14ac:dyDescent="0.3">
      <c r="C311" t="s">
        <v>96</v>
      </c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</row>
    <row r="312" spans="3:34" ht="18" x14ac:dyDescent="0.35">
      <c r="C312" s="24" t="s">
        <v>505</v>
      </c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</row>
    <row r="313" spans="3:34" ht="3" customHeight="1" x14ac:dyDescent="0.3"/>
    <row r="314" spans="3:34" ht="3" customHeight="1" x14ac:dyDescent="0.3"/>
    <row r="315" spans="3:34" ht="18" x14ac:dyDescent="0.35">
      <c r="C315" s="24" t="s">
        <v>510</v>
      </c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Y315" s="214"/>
      <c r="Z315" s="214"/>
      <c r="AA315" s="214"/>
      <c r="AB315" s="214"/>
      <c r="AC315" s="214"/>
      <c r="AD315" s="214"/>
      <c r="AE315" s="214"/>
      <c r="AF315" s="214"/>
      <c r="AG315" s="214"/>
      <c r="AH315" s="214"/>
    </row>
    <row r="316" spans="3:34" ht="3" customHeight="1" x14ac:dyDescent="0.3"/>
    <row r="317" spans="3:34" x14ac:dyDescent="0.3">
      <c r="C317" t="s">
        <v>4</v>
      </c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</row>
    <row r="318" spans="3:34" ht="18" x14ac:dyDescent="0.35">
      <c r="C318" s="24" t="s">
        <v>511</v>
      </c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</row>
    <row r="319" spans="3:34" ht="3" customHeight="1" x14ac:dyDescent="0.3"/>
    <row r="320" spans="3:34" ht="18" x14ac:dyDescent="0.35">
      <c r="C320" s="24" t="s">
        <v>512</v>
      </c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</row>
    <row r="321" spans="3:34" ht="3" customHeight="1" x14ac:dyDescent="0.3"/>
    <row r="322" spans="3:34" ht="18" x14ac:dyDescent="0.35">
      <c r="C322" s="24" t="s">
        <v>513</v>
      </c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</row>
    <row r="323" spans="3:34" ht="3" customHeight="1" x14ac:dyDescent="0.3"/>
    <row r="324" spans="3:34" x14ac:dyDescent="0.3">
      <c r="C324" s="2" t="s">
        <v>514</v>
      </c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 spans="3:34" ht="3" customHeight="1" x14ac:dyDescent="0.3"/>
    <row r="326" spans="3:34" x14ac:dyDescent="0.3">
      <c r="C326" t="s">
        <v>8</v>
      </c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</row>
    <row r="327" spans="3:34" ht="18.600000000000001" thickBot="1" x14ac:dyDescent="0.4">
      <c r="C327" s="24" t="s">
        <v>515</v>
      </c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</row>
    <row r="328" spans="3:34" ht="3" customHeight="1" thickTop="1" x14ac:dyDescent="0.3"/>
    <row r="329" spans="3:34" x14ac:dyDescent="0.3">
      <c r="C329" s="2" t="s">
        <v>516</v>
      </c>
    </row>
    <row r="330" spans="3:34" x14ac:dyDescent="0.3">
      <c r="D330" t="str">
        <f t="shared" ref="D330:D335" si="209">D30</f>
      </c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</row>
    <row r="331" spans="3:34" x14ac:dyDescent="0.3">
      <c r="D331" t="str">
        <f t="shared" si="209"/>
      </c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</row>
    <row r="332" spans="3:34" x14ac:dyDescent="0.3">
      <c r="D332" t="str">
        <f t="shared" si="209"/>
      </c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</row>
    <row r="333" spans="3:34" x14ac:dyDescent="0.3">
      <c r="D333" t="str">
        <f t="shared" si="209"/>
      </c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</row>
    <row r="334" spans="3:34" x14ac:dyDescent="0.3">
      <c r="D334" t="str">
        <f t="shared" si="209"/>
      </c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</row>
    <row r="335" spans="3:34" x14ac:dyDescent="0.3">
      <c r="D335" t="str">
        <f t="shared" si="209"/>
      </c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</row>
    <row r="336" spans="3:34" ht="3" customHeight="1" x14ac:dyDescent="0.3"/>
    <row r="337" spans="2:34" ht="18.600000000000001" thickBot="1" x14ac:dyDescent="0.4">
      <c r="C337" s="24" t="s">
        <v>523</v>
      </c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</row>
    <row r="338" spans="2:34" ht="15" thickTop="1" x14ac:dyDescent="0.3"/>
    <row r="339" spans="2:34" x14ac:dyDescent="0.3">
      <c r="C339" s="2" t="s">
        <v>240</v>
      </c>
      <c r="H339" s="77" t="str">
        <f>$H$166</f>
      </c>
      <c r="J339" s="71">
        <f>R166</f>
      </c>
      <c r="K339" s="71">
        <f t="shared" ref="K339:M346" si="210">S166</f>
      </c>
      <c r="L339" s="71">
        <f t="shared" si="210"/>
      </c>
      <c r="M339" s="71">
        <f t="shared" si="210"/>
      </c>
      <c r="N339" s="39"/>
      <c r="O339" s="39"/>
      <c r="P339" s="39"/>
      <c r="Q339" s="39"/>
      <c r="R339" s="39"/>
      <c r="S339" s="39"/>
      <c r="T339" s="39"/>
      <c r="U339" s="39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 spans="2:34" x14ac:dyDescent="0.3">
      <c r="C340" s="2" t="s">
        <v>368</v>
      </c>
      <c r="H340" s="77" t="str">
        <f>$H$167</f>
      </c>
      <c r="J340" s="71">
        <f t="shared" ref="J340:J346" si="211">R167</f>
      </c>
      <c r="K340" s="71">
        <f t="shared" si="210"/>
      </c>
      <c r="L340" s="71">
        <f t="shared" si="210"/>
      </c>
      <c r="M340" s="71">
        <f t="shared" si="210"/>
      </c>
      <c r="N340" s="39"/>
      <c r="O340" s="39"/>
      <c r="P340" s="39"/>
      <c r="Q340" s="39"/>
      <c r="R340" s="39"/>
      <c r="S340" s="39"/>
      <c r="T340" s="39"/>
      <c r="U340" s="39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 spans="2:34" x14ac:dyDescent="0.3">
      <c r="C341" s="2" t="s">
        <v>243</v>
      </c>
      <c r="H341" s="77" t="str">
        <f>H340</f>
      </c>
      <c r="J341" s="71">
        <f t="shared" si="211"/>
      </c>
      <c r="K341" s="71">
        <f t="shared" si="210"/>
      </c>
      <c r="L341" s="71">
        <f t="shared" si="210"/>
      </c>
      <c r="M341" s="71">
        <f t="shared" si="210"/>
      </c>
      <c r="N341" s="40"/>
      <c r="O341" s="40"/>
      <c r="P341" s="40"/>
      <c r="Q341" s="40"/>
      <c r="R341" s="40"/>
      <c r="S341" s="40"/>
      <c r="T341" s="40"/>
      <c r="U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 spans="2:34" x14ac:dyDescent="0.3">
      <c r="C342" s="2" t="s">
        <v>116</v>
      </c>
      <c r="H342" s="77" t="str">
        <f>H341</f>
      </c>
      <c r="J342" s="71">
        <f t="shared" si="211"/>
      </c>
      <c r="K342" s="71">
        <f t="shared" si="210"/>
      </c>
      <c r="L342" s="71">
        <f t="shared" si="210"/>
      </c>
      <c r="M342" s="71">
        <f t="shared" si="210"/>
      </c>
      <c r="N342" s="39"/>
      <c r="O342" s="39"/>
      <c r="P342" s="39"/>
      <c r="Q342" s="39"/>
      <c r="R342" s="39"/>
      <c r="S342" s="39"/>
      <c r="T342" s="39"/>
      <c r="U342" s="39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 spans="2:34" x14ac:dyDescent="0.3">
      <c r="C343" s="2" t="s">
        <v>241</v>
      </c>
      <c r="H343" s="77" t="str">
        <f>$H$10</f>
      </c>
      <c r="J343" s="71">
        <f t="shared" si="211"/>
      </c>
      <c r="K343" s="71">
        <f t="shared" si="210"/>
      </c>
      <c r="L343" s="71">
        <f t="shared" si="210"/>
      </c>
      <c r="M343" s="71">
        <f t="shared" si="210"/>
      </c>
      <c r="N343" s="71"/>
      <c r="O343" s="71"/>
      <c r="P343" s="71"/>
      <c r="Q343" s="71"/>
      <c r="R343" s="71"/>
      <c r="S343" s="71"/>
      <c r="T343" s="71"/>
      <c r="U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</row>
    <row r="344" spans="2:34" x14ac:dyDescent="0.3">
      <c r="C344" s="2" t="s">
        <v>242</v>
      </c>
      <c r="J344" s="71">
        <f t="shared" si="211"/>
      </c>
      <c r="K344" s="71">
        <f t="shared" si="210"/>
      </c>
      <c r="L344" s="71">
        <f t="shared" si="210"/>
      </c>
      <c r="M344" s="71">
        <f t="shared" si="210"/>
      </c>
      <c r="N344" s="71"/>
      <c r="O344" s="71"/>
      <c r="P344" s="71"/>
      <c r="Q344" s="71"/>
      <c r="R344" s="71"/>
      <c r="S344" s="71"/>
      <c r="T344" s="71"/>
      <c r="U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</row>
    <row r="345" spans="2:34" x14ac:dyDescent="0.3">
      <c r="C345" s="2" t="s">
        <v>357</v>
      </c>
      <c r="H345" s="77" t="str">
        <f>$H$10</f>
      </c>
      <c r="J345" s="71">
        <f t="shared" si="211"/>
      </c>
      <c r="K345" s="71">
        <f t="shared" si="210"/>
      </c>
      <c r="L345" s="71">
        <f t="shared" si="210"/>
      </c>
      <c r="M345" s="71">
        <f t="shared" si="210"/>
      </c>
      <c r="N345" s="39"/>
      <c r="O345" s="39"/>
      <c r="P345" s="39"/>
      <c r="Q345" s="39"/>
      <c r="R345" s="39"/>
      <c r="S345" s="39"/>
      <c r="T345" s="39"/>
      <c r="U345" s="39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</row>
    <row r="346" spans="2:34" x14ac:dyDescent="0.3">
      <c r="C346" s="2" t="s">
        <v>575</v>
      </c>
      <c r="J346" s="71">
        <f t="shared" si="211"/>
      </c>
      <c r="K346" s="71">
        <f t="shared" si="210"/>
      </c>
      <c r="L346" s="71">
        <f t="shared" si="210"/>
      </c>
      <c r="M346" s="71">
        <f t="shared" si="210"/>
      </c>
      <c r="N346" s="71"/>
      <c r="O346" s="71"/>
      <c r="P346" s="71"/>
      <c r="Q346" s="71"/>
      <c r="R346" s="71"/>
      <c r="S346" s="71"/>
      <c r="T346" s="71"/>
      <c r="U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</row>
    <row r="349" spans="2:34" x14ac:dyDescent="0.3">
      <c r="U349" s="227" t="str">
        <f>$U$2</f>
      </c>
    </row>
    <row r="350" spans="2:34" ht="18" x14ac:dyDescent="0.35">
      <c r="B350" s="148" t="str">
        <f>'Assumptions&amp;Scenario'!$K$10</f>
      </c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</row>
    <row r="351" spans="2:34" ht="18" thickBot="1" x14ac:dyDescent="0.35">
      <c r="B351" s="47" t="s">
        <v>489</v>
      </c>
      <c r="C351" s="48"/>
      <c r="D351" s="48"/>
      <c r="E351" s="48"/>
      <c r="F351" s="48"/>
      <c r="G351" s="48"/>
      <c r="H351" s="49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</row>
    <row r="352" spans="2:34" ht="15" thickBot="1" x14ac:dyDescent="0.35">
      <c r="C352" s="2"/>
      <c r="D352" s="2"/>
      <c r="E352" s="2"/>
      <c r="F352" s="2"/>
      <c r="L352" s="42" t="s">
        <v>141</v>
      </c>
      <c r="M352" s="42"/>
      <c r="N352" s="42"/>
      <c r="O352" s="42"/>
      <c r="P352" s="42"/>
      <c r="Q352" s="42"/>
      <c r="R352" s="42"/>
      <c r="S352" s="42"/>
      <c r="T352" s="42"/>
      <c r="U352" s="42"/>
    </row>
    <row r="353" spans="3:21" ht="16.2" thickTop="1" x14ac:dyDescent="0.3">
      <c r="C353" s="43" t="s">
        <v>389</v>
      </c>
      <c r="D353" s="43"/>
      <c r="E353" s="43"/>
      <c r="F353" s="43"/>
      <c r="G353" s="43"/>
      <c r="H353" s="44"/>
      <c r="I353" s="44"/>
      <c r="J353" s="44" t="str">
        <f>"FY"&amp;TEXT(RIGHT(K353,2)-(COLUMN(K353)-COLUMN()),"00")</f>
      </c>
      <c r="K353" s="44" t="str">
        <f>"FY"&amp;TEXT(DATE(YEAR('Data Sheet'!$K$16)+(MONTH('Data Sheet'!$K$16)&gt;3),1,1),"YY")</f>
      </c>
      <c r="L353" s="44" t="str">
        <f t="shared" ref="L353:U353" si="212">"FY"&amp;TEXT(RIGHT(K353,2)+COLUMN()-COLUMN(K353),"00")</f>
      </c>
      <c r="M353" s="44" t="str">
        <f t="shared" si="212"/>
      </c>
      <c r="N353" s="44" t="str">
        <f t="shared" si="212"/>
      </c>
      <c r="O353" s="44" t="str">
        <f t="shared" si="212"/>
      </c>
      <c r="P353" s="44" t="str">
        <f t="shared" si="212"/>
      </c>
      <c r="Q353" s="44" t="str">
        <f t="shared" si="212"/>
      </c>
      <c r="R353" s="44" t="str">
        <f t="shared" si="212"/>
      </c>
      <c r="S353" s="44" t="str">
        <f t="shared" si="212"/>
      </c>
      <c r="T353" s="44" t="str">
        <f t="shared" si="212"/>
      </c>
      <c r="U353" s="44" t="str">
        <f t="shared" si="212"/>
      </c>
    </row>
    <row r="354" spans="3:21" ht="3" customHeight="1" x14ac:dyDescent="0.3"/>
    <row r="355" spans="3:21" ht="3" customHeight="1" x14ac:dyDescent="0.3"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3:21" ht="3" customHeight="1" x14ac:dyDescent="0.3"/>
    <row r="357" spans="3:21" ht="18" x14ac:dyDescent="0.35">
      <c r="C357" s="24" t="s">
        <v>572</v>
      </c>
    </row>
    <row r="358" spans="3:21" x14ac:dyDescent="0.3">
      <c r="C358" s="2"/>
      <c r="D358" t="s">
        <v>511</v>
      </c>
      <c r="H358" s="77" t="str">
        <f>$H$10</f>
      </c>
      <c r="J358" s="40">
        <f t="shared" ref="J358:U358" si="213">J272</f>
      </c>
      <c r="K358" s="40">
        <f t="shared" si="213"/>
      </c>
      <c r="L358" s="40">
        <f t="shared" si="213"/>
      </c>
      <c r="M358" s="40">
        <f t="shared" si="213"/>
      </c>
      <c r="N358" s="40">
        <f t="shared" si="213"/>
      </c>
      <c r="O358" s="40">
        <f t="shared" si="213"/>
      </c>
      <c r="P358" s="40">
        <f t="shared" si="213"/>
      </c>
      <c r="Q358" s="40">
        <f t="shared" si="213"/>
      </c>
      <c r="R358" s="40">
        <f t="shared" si="213"/>
      </c>
      <c r="S358" s="40">
        <f t="shared" si="213"/>
      </c>
      <c r="T358" s="40">
        <f t="shared" si="213"/>
      </c>
      <c r="U358" s="40">
        <f t="shared" si="213"/>
      </c>
    </row>
    <row r="359" spans="3:21" x14ac:dyDescent="0.3">
      <c r="C359" s="2"/>
      <c r="D359" s="78" t="s">
        <v>573</v>
      </c>
      <c r="E359" s="78"/>
      <c r="F359" s="78"/>
      <c r="G359" s="78"/>
      <c r="H359" s="198"/>
      <c r="J359" s="92"/>
      <c r="K359" s="92">
        <f>IFERROR(K358/J358-1, 0)</f>
      </c>
      <c r="L359" s="92">
        <f>IFERROR(L358/K358-1, 0)</f>
      </c>
      <c r="M359" s="92">
        <f t="shared" ref="M359:U359" si="214">IFERROR(M358/L358-1, 0)</f>
      </c>
      <c r="N359" s="92">
        <f t="shared" si="214"/>
      </c>
      <c r="O359" s="92">
        <f t="shared" si="214"/>
      </c>
      <c r="P359" s="92">
        <f t="shared" si="214"/>
      </c>
      <c r="Q359" s="92">
        <f t="shared" si="214"/>
      </c>
      <c r="R359" s="92">
        <f t="shared" si="214"/>
      </c>
      <c r="S359" s="92">
        <f t="shared" si="214"/>
      </c>
      <c r="T359" s="92">
        <f t="shared" si="214"/>
      </c>
      <c r="U359" s="92">
        <f t="shared" si="214"/>
      </c>
    </row>
    <row r="360" spans="3:21" x14ac:dyDescent="0.3">
      <c r="D360" t="s">
        <v>515</v>
      </c>
      <c r="H360" s="77" t="str">
        <f>$H$10</f>
      </c>
      <c r="J360" s="40">
        <f t="shared" ref="J360:U360" si="215">J281</f>
      </c>
      <c r="K360" s="40">
        <f t="shared" si="215"/>
      </c>
      <c r="L360" s="40">
        <f t="shared" si="215"/>
      </c>
      <c r="M360" s="40">
        <f t="shared" si="215"/>
      </c>
      <c r="N360" s="40">
        <f t="shared" si="215"/>
      </c>
      <c r="O360" s="40">
        <f t="shared" si="215"/>
      </c>
      <c r="P360" s="40">
        <f t="shared" si="215"/>
      </c>
      <c r="Q360" s="40">
        <f t="shared" si="215"/>
      </c>
      <c r="R360" s="40">
        <f t="shared" si="215"/>
      </c>
      <c r="S360" s="40">
        <f t="shared" si="215"/>
      </c>
      <c r="T360" s="40">
        <f t="shared" si="215"/>
      </c>
      <c r="U360" s="40">
        <f t="shared" si="215"/>
      </c>
    </row>
    <row r="361" spans="3:21" x14ac:dyDescent="0.3">
      <c r="D361" s="78" t="s">
        <v>574</v>
      </c>
      <c r="E361" s="78"/>
      <c r="F361" s="78"/>
      <c r="G361" s="78"/>
      <c r="H361" s="198"/>
      <c r="J361" s="92">
        <f t="shared" ref="J361:K361" si="216">IFERROR(J360/J358, 0)</f>
      </c>
      <c r="K361" s="92">
        <f t="shared" si="216"/>
      </c>
      <c r="L361" s="92">
        <f>IFERROR(L360/L358, 0)</f>
      </c>
      <c r="M361" s="92">
        <f t="shared" ref="M361:U361" si="217">IFERROR(M360/M358, 0)</f>
      </c>
      <c r="N361" s="92">
        <f t="shared" si="217"/>
      </c>
      <c r="O361" s="92">
        <f t="shared" si="217"/>
      </c>
      <c r="P361" s="92">
        <f t="shared" si="217"/>
      </c>
      <c r="Q361" s="92">
        <f t="shared" si="217"/>
      </c>
      <c r="R361" s="92">
        <f t="shared" si="217"/>
      </c>
      <c r="S361" s="92">
        <f t="shared" si="217"/>
      </c>
      <c r="T361" s="92">
        <f t="shared" si="217"/>
      </c>
      <c r="U361" s="92">
        <f t="shared" si="217"/>
      </c>
    </row>
    <row r="362" spans="3:21" x14ac:dyDescent="0.3">
      <c r="D362" t="s">
        <v>40</v>
      </c>
      <c r="E362" s="78"/>
      <c r="F362" s="78"/>
      <c r="G362" s="78"/>
      <c r="H362" s="77" t="str">
        <f>H340</f>
      </c>
      <c r="J362" s="40">
        <f>J294</f>
      </c>
      <c r="K362" s="40">
        <f t="shared" ref="K362:U362" si="218">K294</f>
      </c>
      <c r="L362" s="40">
        <f t="shared" si="218"/>
      </c>
      <c r="M362" s="40">
        <f t="shared" si="218"/>
      </c>
      <c r="N362" s="40">
        <f t="shared" si="218"/>
      </c>
      <c r="O362" s="40">
        <f t="shared" si="218"/>
      </c>
      <c r="P362" s="40">
        <f t="shared" si="218"/>
      </c>
      <c r="Q362" s="40">
        <f t="shared" si="218"/>
      </c>
      <c r="R362" s="40">
        <f t="shared" si="218"/>
      </c>
      <c r="S362" s="40">
        <f t="shared" si="218"/>
      </c>
      <c r="T362" s="40">
        <f t="shared" si="218"/>
      </c>
      <c r="U362" s="40">
        <f t="shared" si="218"/>
      </c>
    </row>
    <row r="363" spans="3:21" x14ac:dyDescent="0.3">
      <c r="D363" s="78" t="s">
        <v>461</v>
      </c>
      <c r="E363" s="78"/>
      <c r="F363" s="78"/>
      <c r="G363" s="78"/>
      <c r="H363" s="78"/>
      <c r="J363" s="92"/>
      <c r="K363" s="92">
        <f>IFERROR(K362/J362-1, 0)</f>
      </c>
      <c r="L363" s="92">
        <f>IFERROR(L362/K362-1, 0)</f>
      </c>
      <c r="M363" s="92">
        <f t="shared" ref="M363:U363" si="219">IFERROR(M362/L362-1, 0)</f>
      </c>
      <c r="N363" s="92">
        <f t="shared" si="219"/>
      </c>
      <c r="O363" s="92">
        <f t="shared" si="219"/>
      </c>
      <c r="P363" s="92">
        <f t="shared" si="219"/>
      </c>
      <c r="Q363" s="92">
        <f t="shared" si="219"/>
      </c>
      <c r="R363" s="92">
        <f t="shared" si="219"/>
      </c>
      <c r="S363" s="92">
        <f t="shared" si="219"/>
      </c>
      <c r="T363" s="92">
        <f t="shared" si="219"/>
      </c>
      <c r="U363" s="92">
        <f t="shared" si="219"/>
      </c>
    </row>
    <row r="364" spans="3:21" x14ac:dyDescent="0.3"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</row>
    <row r="365" spans="3:21" ht="3" customHeight="1" x14ac:dyDescent="0.3"/>
    <row r="366" spans="3:21" x14ac:dyDescent="0.3">
      <c r="D366" t="s">
        <v>523</v>
      </c>
      <c r="J366" s="40"/>
      <c r="K366" s="40"/>
      <c r="L366" s="40">
        <f>L291</f>
      </c>
      <c r="M366" s="40">
        <f t="shared" ref="M366:U366" si="220">M291</f>
      </c>
      <c r="N366" s="40">
        <f t="shared" si="220"/>
      </c>
      <c r="O366" s="40">
        <f t="shared" si="220"/>
      </c>
      <c r="P366" s="40">
        <f t="shared" si="220"/>
      </c>
      <c r="Q366" s="40">
        <f t="shared" si="220"/>
      </c>
      <c r="R366" s="40">
        <f t="shared" si="220"/>
      </c>
      <c r="S366" s="40">
        <f t="shared" si="220"/>
      </c>
      <c r="T366" s="40">
        <f t="shared" si="220"/>
      </c>
      <c r="U366" s="40">
        <f t="shared" si="220"/>
      </c>
    </row>
    <row r="367" spans="3:21" x14ac:dyDescent="0.3">
      <c r="D367" t="s">
        <v>5</v>
      </c>
      <c r="J367" s="40"/>
      <c r="K367" s="40"/>
      <c r="L367" s="40">
        <f>Model!L581</f>
      </c>
      <c r="M367" s="40">
        <f>Model!M581</f>
      </c>
      <c r="N367" s="40">
        <f>Model!N581</f>
      </c>
      <c r="O367" s="40">
        <f>Model!O581</f>
      </c>
      <c r="P367" s="40">
        <f>Model!P581</f>
      </c>
      <c r="Q367" s="40">
        <f>Model!Q581</f>
      </c>
      <c r="R367" s="40">
        <f>Model!R581</f>
      </c>
      <c r="S367" s="40">
        <f>Model!S581</f>
      </c>
      <c r="T367" s="40">
        <f>Model!T581</f>
      </c>
      <c r="U367" s="40">
        <f>Model!U581</f>
      </c>
    </row>
    <row r="368" spans="3:21" x14ac:dyDescent="0.3">
      <c r="D368" t="s">
        <v>77</v>
      </c>
      <c r="J368" s="40"/>
      <c r="K368" s="40"/>
      <c r="L368" s="40">
        <f>Model!L582</f>
      </c>
      <c r="M368" s="40">
        <f>Model!M582</f>
      </c>
      <c r="N368" s="40">
        <f>Model!N582</f>
      </c>
      <c r="O368" s="40">
        <f>Model!O582</f>
      </c>
      <c r="P368" s="40">
        <f>Model!P582</f>
      </c>
      <c r="Q368" s="40">
        <f>Model!Q582</f>
      </c>
      <c r="R368" s="40">
        <f>Model!R582</f>
      </c>
      <c r="S368" s="40">
        <f>Model!S582</f>
      </c>
      <c r="T368" s="40">
        <f>Model!T582</f>
      </c>
      <c r="U368" s="40">
        <f>Model!U582</f>
      </c>
    </row>
    <row r="369" spans="4:21" x14ac:dyDescent="0.3">
      <c r="D369" t="s">
        <v>317</v>
      </c>
      <c r="J369" s="40"/>
      <c r="K369" s="40"/>
      <c r="L369" s="40">
        <f>Model!L583</f>
      </c>
      <c r="M369" s="40">
        <f>Model!M583</f>
      </c>
      <c r="N369" s="40">
        <f>Model!N583</f>
      </c>
      <c r="O369" s="40">
        <f>Model!O583</f>
      </c>
      <c r="P369" s="40">
        <f>Model!P583</f>
      </c>
      <c r="Q369" s="40">
        <f>Model!Q583</f>
      </c>
      <c r="R369" s="40">
        <f>Model!R583</f>
      </c>
      <c r="S369" s="40">
        <f>Model!S583</f>
      </c>
      <c r="T369" s="40">
        <f>Model!T583</f>
      </c>
      <c r="U369" s="40">
        <f>Model!U583</f>
      </c>
    </row>
    <row r="370" spans="4:21" x14ac:dyDescent="0.3">
      <c r="D370" t="s">
        <v>579</v>
      </c>
      <c r="J370" s="40"/>
      <c r="K370" s="40"/>
      <c r="L370" s="40">
        <f>-MAX(Model!L378*'Assumptions&amp;Scenario'!$U$45-Model!K376-SUM($K370:K370), 0)</f>
      </c>
      <c r="M370" s="40">
        <f>-MAX(Model!M378*'Assumptions&amp;Scenario'!$U$45-Model!L376-SUM($K370:L370), 0)</f>
      </c>
      <c r="N370" s="40">
        <f>-MAX(Model!N378*'Assumptions&amp;Scenario'!$U$45-Model!M376-SUM($K370:M370), 0)</f>
      </c>
      <c r="O370" s="40">
        <f>-MAX(Model!O378*'Assumptions&amp;Scenario'!$U$45-Model!N376-SUM($K370:N370), 0)</f>
      </c>
      <c r="P370" s="40">
        <f>-MAX(Model!P378*'Assumptions&amp;Scenario'!$U$45-Model!O376-SUM($K370:O370), 0)</f>
      </c>
      <c r="Q370" s="40">
        <f>-MAX(Model!Q378*'Assumptions&amp;Scenario'!$U$45-Model!P376-SUM($K370:P370), 0)</f>
      </c>
      <c r="R370" s="40">
        <f>-MAX(Model!R378*'Assumptions&amp;Scenario'!$U$45-Model!Q376-SUM($K370:Q370), 0)</f>
      </c>
      <c r="S370" s="40">
        <f>-MAX(Model!S378*'Assumptions&amp;Scenario'!$U$45-Model!R376-SUM($K370:R370), 0)</f>
      </c>
      <c r="T370" s="40">
        <f>-MAX(Model!T378*'Assumptions&amp;Scenario'!$U$45-Model!S376-SUM($K370:S370), 0)</f>
      </c>
      <c r="U370" s="40">
        <f>-MAX(Model!U378*'Assumptions&amp;Scenario'!$U$45-Model!T376-SUM($K370:T370), 0)</f>
      </c>
    </row>
    <row r="371" spans="4:21" ht="15" thickBot="1" x14ac:dyDescent="0.35">
      <c r="D371" s="2" t="s">
        <v>572</v>
      </c>
      <c r="J371" s="104"/>
      <c r="K371" s="104"/>
      <c r="L371" s="104">
        <f>SUM(L366:L370)</f>
      </c>
      <c r="M371" s="104">
        <f t="shared" ref="M371:U371" si="221">SUM(M366:M370)</f>
      </c>
      <c r="N371" s="104">
        <f t="shared" si="221"/>
      </c>
      <c r="O371" s="104">
        <f t="shared" si="221"/>
      </c>
      <c r="P371" s="104">
        <f t="shared" si="221"/>
      </c>
      <c r="Q371" s="104">
        <f t="shared" si="221"/>
      </c>
      <c r="R371" s="104">
        <f t="shared" si="221"/>
      </c>
      <c r="S371" s="104">
        <f t="shared" si="221"/>
      </c>
      <c r="T371" s="104">
        <f t="shared" si="221"/>
      </c>
      <c r="U371" s="104">
        <f t="shared" si="221"/>
      </c>
    </row>
    <row r="372" spans="4:21" ht="3" customHeight="1" thickTop="1" x14ac:dyDescent="0.3"/>
    <row r="373" spans="4:21" x14ac:dyDescent="0.3">
      <c r="D373" t="s">
        <v>464</v>
      </c>
      <c r="L373" s="40">
        <v>0</v>
      </c>
      <c r="M373" s="40">
        <v>1</v>
      </c>
      <c r="N373" s="40">
        <v>2</v>
      </c>
      <c r="O373" s="40">
        <v>3</v>
      </c>
      <c r="P373" s="40">
        <v>4</v>
      </c>
      <c r="Q373" s="40">
        <v>5</v>
      </c>
      <c r="R373" s="40">
        <v>6</v>
      </c>
      <c r="S373" s="40">
        <v>7</v>
      </c>
      <c r="T373" s="40">
        <v>8</v>
      </c>
      <c r="U373" s="40">
        <v>9</v>
      </c>
    </row>
    <row r="374" spans="4:21" x14ac:dyDescent="0.3">
      <c r="D374" t="s">
        <v>576</v>
      </c>
      <c r="L374" s="184">
        <f>'Assumptions&amp;Scenario'!L195</f>
      </c>
      <c r="M374" s="184">
        <f>'Assumptions&amp;Scenario'!M195</f>
      </c>
      <c r="N374" s="184">
        <f>'Assumptions&amp;Scenario'!N195</f>
      </c>
      <c r="O374" s="184">
        <f>'Assumptions&amp;Scenario'!O195</f>
      </c>
      <c r="P374" s="184">
        <f>'Assumptions&amp;Scenario'!P195</f>
      </c>
      <c r="Q374" s="184">
        <f>'Assumptions&amp;Scenario'!Q195</f>
      </c>
      <c r="R374" s="184">
        <f>'Assumptions&amp;Scenario'!R195</f>
      </c>
      <c r="S374" s="184">
        <f>'Assumptions&amp;Scenario'!S195</f>
      </c>
      <c r="T374" s="184">
        <f>'Assumptions&amp;Scenario'!T195</f>
      </c>
      <c r="U374" s="184">
        <f>'Assumptions&amp;Scenario'!U195</f>
      </c>
    </row>
    <row r="375" spans="4:21" ht="3" customHeight="1" x14ac:dyDescent="0.3"/>
    <row r="376" spans="4:21" x14ac:dyDescent="0.3">
      <c r="D376" s="136" t="s">
        <v>582</v>
      </c>
      <c r="E376" s="113"/>
      <c r="F376" s="113"/>
      <c r="G376" s="113"/>
      <c r="H376" s="113"/>
      <c r="I376" s="113"/>
      <c r="J376" s="113"/>
      <c r="K376" s="126"/>
      <c r="L376" s="126" cm="1">
        <f t="array" ref="L376">SUMPRODUCT(M371:U371 / (1 + M374:U374) ^ M373:U373)</f>
      </c>
      <c r="M376" s="126" cm="1">
        <f t="array" ref="M376">SUMPRODUCT(N371:U371 / (1 + N374:U374) ^ (N373:U373 - 1))</f>
      </c>
      <c r="N376" s="170" cm="1">
        <f t="array" ref="N376">SUMPRODUCT(O371:U371 / (1 + O374:U374) ^ (O373:U373 - 2))</f>
      </c>
      <c r="S376" s="136" t="s">
        <v>164</v>
      </c>
      <c r="T376" s="113"/>
      <c r="U376" s="200">
        <f>'Assumptions&amp;Scenario'!K17</f>
      </c>
    </row>
    <row r="377" spans="4:21" x14ac:dyDescent="0.3">
      <c r="D377" s="137" t="s">
        <v>468</v>
      </c>
      <c r="K377" s="40"/>
      <c r="L377" s="40"/>
      <c r="M377" s="40"/>
      <c r="N377" s="143"/>
      <c r="S377" s="137"/>
      <c r="U377" s="143"/>
    </row>
    <row r="378" spans="4:21" x14ac:dyDescent="0.3">
      <c r="D378" s="137" t="s">
        <v>469</v>
      </c>
      <c r="K378" s="40"/>
      <c r="L378" s="40"/>
      <c r="M378" s="40"/>
      <c r="N378" s="143"/>
      <c r="S378" s="137"/>
      <c r="U378" s="201"/>
    </row>
    <row r="379" spans="4:21" x14ac:dyDescent="0.3">
      <c r="D379" s="137"/>
      <c r="K379" s="40"/>
      <c r="L379" s="40"/>
      <c r="M379" s="40"/>
      <c r="N379" s="143"/>
      <c r="S379" s="137" t="s">
        <v>577</v>
      </c>
      <c r="U379" s="143">
        <f>U366*(1+U376)</f>
      </c>
    </row>
    <row r="380" spans="4:21" x14ac:dyDescent="0.3">
      <c r="D380" s="137" t="s">
        <v>471</v>
      </c>
      <c r="K380" s="40"/>
      <c r="L380" s="40">
        <f>IFERROR(U382/(1+U374)^U373, 0)</f>
      </c>
      <c r="M380" s="40">
        <f>IFERROR(U382/(1+U374)^(U373-1), 0)</f>
      </c>
      <c r="N380" s="143">
        <f>IFERROR(U382/(1+U374)^(U373-2), 0)</f>
      </c>
      <c r="S380" s="137" t="s">
        <v>110</v>
      </c>
      <c r="U380" s="201">
        <f>IFERROR(U376/'Assumptions&amp;Scenario'!K20, 'Assumptions&amp;Scenario'!U18)</f>
      </c>
    </row>
    <row r="381" spans="4:21" x14ac:dyDescent="0.3">
      <c r="D381" s="137" t="s">
        <v>472</v>
      </c>
      <c r="L381" s="151">
        <f>'Assumptions&amp;Scenario'!U22</f>
      </c>
      <c r="N381" s="143"/>
      <c r="S381" s="137" t="s">
        <v>479</v>
      </c>
      <c r="U381" s="143">
        <f>U379*(1-U364)*(1-U380)</f>
      </c>
    </row>
    <row r="382" spans="4:21" x14ac:dyDescent="0.3">
      <c r="D382" s="118" t="s">
        <v>473</v>
      </c>
      <c r="H382" s="77" t="str">
        <f>$H$10</f>
      </c>
      <c r="J382" s="40"/>
      <c r="K382" s="40">
        <f>K384*K383</f>
      </c>
      <c r="L382" s="40">
        <f>SUM(L376:L381)</f>
      </c>
      <c r="M382" s="40">
        <f>SUM(M376:M381)</f>
      </c>
      <c r="N382" s="143">
        <f>SUM(N376:N381)</f>
      </c>
      <c r="S382" s="127" t="s">
        <v>471</v>
      </c>
      <c r="T382" s="128"/>
      <c r="U382" s="38">
        <f>IFERROR(U381/(U374-U376), 0)</f>
      </c>
    </row>
    <row r="383" spans="4:21" x14ac:dyDescent="0.3">
      <c r="D383" s="137" t="s">
        <v>474</v>
      </c>
      <c r="K383" s="71">
        <f>Model!K596</f>
      </c>
      <c r="L383" s="71">
        <f>Model!L596</f>
      </c>
      <c r="M383" s="71">
        <f>Model!M596</f>
      </c>
      <c r="N383" s="143">
        <f>Model!N596</f>
      </c>
    </row>
    <row r="384" spans="4:21" x14ac:dyDescent="0.3">
      <c r="D384" s="118" t="s">
        <v>475</v>
      </c>
      <c r="H384" s="77" t="str">
        <f>H362</f>
      </c>
      <c r="J384" s="40"/>
      <c r="K384" s="71">
        <f>Model!K597</f>
      </c>
      <c r="L384" s="91">
        <f>IFERROR(L382/L383, 0)</f>
      </c>
      <c r="M384" s="91">
        <f>IFERROR(M382/M383, 0)</f>
      </c>
      <c r="N384" s="199">
        <f>IFERROR(N382/N383, 0)</f>
      </c>
    </row>
    <row r="385" spans="4:16" x14ac:dyDescent="0.3">
      <c r="D385" s="177" t="s">
        <v>476</v>
      </c>
      <c r="E385" s="120"/>
      <c r="F385" s="120"/>
      <c r="G385" s="120"/>
      <c r="H385" s="120"/>
      <c r="I385" s="120"/>
      <c r="J385" s="120"/>
      <c r="K385" s="120"/>
      <c r="L385" s="131">
        <f>IFERROR(L384/$K384-1, 0)</f>
      </c>
      <c r="M385" s="131">
        <f>IFERROR(M384/$K384-1, 0)</f>
      </c>
      <c r="N385" s="132">
        <f>IFERROR(N384/$K384-1, 0)</f>
      </c>
      <c r="P385" s="2" t="str">
        <f>"₹"&amp;TEXT(ROUND(L384, 0), "#,###")&amp;" / "&amp;ROUND(L385*100, 0)&amp;"%  (COE "&amp;ROUND(L374*100, 0)&amp;"%,  Terminal g "&amp;ROUND(U376*100, 0)&amp;"%, Reinvest Rate "&amp;ROUND(U380*100, 0)&amp;"%)"</f>
      </c>
    </row>
    <row r="386" spans="4:16" ht="3" customHeight="1" x14ac:dyDescent="0.3"/>
    <row r="387" spans="4:16" ht="15.6" x14ac:dyDescent="0.3">
      <c r="D387" s="43" t="s">
        <v>389</v>
      </c>
      <c r="E387" s="43"/>
      <c r="F387" s="43"/>
      <c r="G387" s="43"/>
      <c r="H387" s="43"/>
      <c r="I387" s="44"/>
      <c r="J387" s="44" t="str">
        <f>J353</f>
      </c>
      <c r="K387" s="44" t="str">
        <f t="shared" ref="K387:N387" si="222">K353</f>
      </c>
      <c r="L387" s="44" t="str">
        <f t="shared" si="222"/>
      </c>
      <c r="M387" s="44" t="str">
        <f t="shared" si="222"/>
      </c>
      <c r="N387" s="44" t="str">
        <f t="shared" si="222"/>
      </c>
    </row>
    <row r="388" spans="4:16" ht="3" customHeight="1" x14ac:dyDescent="0.3"/>
    <row r="389" spans="4:16" ht="3" customHeight="1" x14ac:dyDescent="0.3"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 spans="4:16" ht="3" customHeight="1" x14ac:dyDescent="0.3"/>
    <row r="391" spans="4:16" x14ac:dyDescent="0.3">
      <c r="D391" s="121" t="s">
        <v>583</v>
      </c>
      <c r="E391" s="113"/>
      <c r="F391" s="113"/>
      <c r="G391" s="113"/>
      <c r="H391" s="202" t="str">
        <f>H384</f>
      </c>
      <c r="I391" s="113"/>
      <c r="J391" s="126">
        <f>IFERROR(Model!J376/Model!J202, 0)</f>
      </c>
      <c r="K391" s="126">
        <f>IFERROR(Model!K376/Model!K202, 0)</f>
      </c>
      <c r="L391" s="126">
        <f>IFERROR(Model!L376/Model!L202, 0)</f>
      </c>
      <c r="M391" s="126">
        <f>IFERROR(Model!M376/Model!M202, 0)</f>
      </c>
      <c r="N391" s="170">
        <f>IFERROR(Model!N376/Model!N202, 0)</f>
      </c>
    </row>
    <row r="392" spans="4:16" x14ac:dyDescent="0.3">
      <c r="D392" s="137" t="s">
        <v>584</v>
      </c>
      <c r="J392" s="50">
        <f>HistoricalData!T682</f>
      </c>
      <c r="K392" s="50">
        <f>HistoricalData!U682</f>
      </c>
      <c r="L392" s="50">
        <f>AVERAGE(J392:K392)</f>
      </c>
      <c r="M392" s="50">
        <f>L392</f>
      </c>
      <c r="N392" s="119">
        <f>M392</f>
      </c>
    </row>
    <row r="393" spans="4:16" x14ac:dyDescent="0.3">
      <c r="D393" s="137"/>
      <c r="M393" s="184"/>
      <c r="N393" s="203"/>
    </row>
    <row r="394" spans="4:16" x14ac:dyDescent="0.3">
      <c r="D394" s="137"/>
      <c r="M394" s="86"/>
      <c r="N394" s="204"/>
    </row>
    <row r="395" spans="4:16" x14ac:dyDescent="0.3">
      <c r="D395" s="118" t="s">
        <v>483</v>
      </c>
      <c r="H395" s="77" t="str">
        <f>H391</f>
      </c>
      <c r="K395" s="40">
        <f>'Assumptions&amp;Scenario'!U41</f>
      </c>
      <c r="L395" s="91">
        <f>L391*L392</f>
      </c>
      <c r="M395" s="91">
        <f t="shared" ref="M395" si="223">M391*M392</f>
      </c>
      <c r="N395" s="138"/>
    </row>
    <row r="396" spans="4:16" x14ac:dyDescent="0.3">
      <c r="D396" s="177" t="s">
        <v>476</v>
      </c>
      <c r="E396" s="120"/>
      <c r="F396" s="120"/>
      <c r="G396" s="120"/>
      <c r="H396" s="120"/>
      <c r="I396" s="120"/>
      <c r="J396" s="120"/>
      <c r="K396" s="120"/>
      <c r="L396" s="131">
        <f>IFERROR(L395/$K395-1, 0)</f>
      </c>
      <c r="M396" s="131">
        <f>IFERROR(M395/$K395-1, 0)</f>
      </c>
      <c r="N396" s="139"/>
    </row>
  </sheetData>
  <phoneticPr fontId="12" type="noConversion"/>
  <printOptions horizontalCentered="1"/>
  <pageMargins left="0.19685039370078741" right="0.19685039370078741" top="0.19685039370078741" bottom="0.19685039370078741" header="0.11811023622047245" footer="0.11811023622047245"/>
  <pageSetup paperSize="5" scale="95" orientation="landscape" r:id="rId1"/>
  <headerFooter>
    <oddFooter>&amp;L&amp;A&amp;CPage &amp;P of &amp;N&amp;R&amp;F</oddFooter>
  </headerFooter>
  <ignoredErrors>
    <ignoredError sqref="Y58:AH58 Y59:AH59 Y60:AH60 Y186:AH186 Y187:AH187" formula="1"/>
    <ignoredError sqref="L376:N37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8BFE-3ECF-4A33-90AE-9BFCA9E4FB6A}">
  <dimension ref="B3:AF101"/>
  <sheetViews>
    <sheetView showGridLines="0" view="pageBreakPreview" zoomScaleNormal="100" zoomScaleSheetLayoutView="100" workbookViewId="0">
      <selection activeCell="G10" sqref="G10"/>
    </sheetView>
  </sheetViews>
  <sheetFormatPr defaultRowHeight="14.4" x14ac:dyDescent="0.3"/>
  <cols>
    <col min="2" max="2" width="1.88671875" customWidth="1"/>
    <col min="3" max="3" width="5.6640625" bestFit="1" customWidth="1"/>
    <col min="4" max="4" width="8.6640625" bestFit="1" customWidth="1"/>
    <col min="5" max="5" width="11.88671875" bestFit="1" customWidth="1"/>
    <col min="6" max="6" width="10.5546875" bestFit="1" customWidth="1"/>
    <col min="7" max="7" width="11.88671875" bestFit="1" customWidth="1"/>
    <col min="8" max="8" width="11.109375" bestFit="1" customWidth="1"/>
    <col min="9" max="9" width="11.44140625" bestFit="1" customWidth="1"/>
    <col min="10" max="11" width="9.5546875" bestFit="1" customWidth="1"/>
    <col min="12" max="17" width="11.88671875" bestFit="1" customWidth="1"/>
    <col min="18" max="19" width="8.44140625" bestFit="1" customWidth="1"/>
    <col min="20" max="20" width="30.6640625" customWidth="1"/>
    <col min="21" max="22" width="1.88671875" customWidth="1"/>
    <col min="24" max="24" width="10.6640625" customWidth="1"/>
  </cols>
  <sheetData>
    <row r="3" spans="2:32" ht="18" x14ac:dyDescent="0.35">
      <c r="B3" s="148" t="str">
        <f>'Assumptions&amp;Scenario'!$K$10</f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</row>
    <row r="4" spans="2:32" ht="18" thickBot="1" x14ac:dyDescent="0.35">
      <c r="B4" s="47" t="s">
        <v>597</v>
      </c>
      <c r="C4" s="48"/>
      <c r="D4" s="48"/>
      <c r="E4" s="48"/>
      <c r="F4" s="48"/>
      <c r="G4" s="48"/>
      <c r="H4" s="49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2:32" ht="15.6" x14ac:dyDescent="0.3">
      <c r="C5" s="2"/>
      <c r="D5" s="2"/>
      <c r="E5" s="2"/>
      <c r="F5" s="2"/>
      <c r="J5" s="40"/>
      <c r="K5" s="40"/>
      <c r="L5" s="89"/>
      <c r="M5" s="89"/>
      <c r="N5" s="89"/>
      <c r="O5" s="89"/>
      <c r="P5" s="89"/>
      <c r="Q5" s="2"/>
      <c r="R5" s="2"/>
      <c r="S5" s="2"/>
      <c r="T5" s="2"/>
      <c r="U5" s="40"/>
      <c r="V5" s="40"/>
      <c r="W5" s="40"/>
      <c r="X5" s="244" t="s">
        <v>628</v>
      </c>
      <c r="Y5" s="244"/>
      <c r="Z5" s="244"/>
      <c r="AA5" s="244" t="s">
        <v>213</v>
      </c>
      <c r="AB5" s="244"/>
      <c r="AC5" s="244"/>
      <c r="AD5" s="244" t="s">
        <v>629</v>
      </c>
      <c r="AE5" s="244"/>
      <c r="AF5" s="244"/>
    </row>
    <row r="6" spans="2:32" ht="15.6" x14ac:dyDescent="0.3">
      <c r="G6" s="44" t="s">
        <v>81</v>
      </c>
      <c r="H6" s="43" t="s">
        <v>608</v>
      </c>
      <c r="I6" s="44" t="s">
        <v>607</v>
      </c>
      <c r="J6" s="44" t="s">
        <v>606</v>
      </c>
      <c r="K6" s="44" t="s">
        <v>605</v>
      </c>
      <c r="L6" s="79" t="s">
        <v>604</v>
      </c>
      <c r="M6" s="79" t="s">
        <v>599</v>
      </c>
      <c r="N6" s="79" t="s">
        <v>598</v>
      </c>
      <c r="O6" s="79" t="s">
        <v>603</v>
      </c>
      <c r="P6" s="79" t="s">
        <v>602</v>
      </c>
      <c r="Q6" s="44" t="s">
        <v>601</v>
      </c>
      <c r="R6" s="44" t="s">
        <v>610</v>
      </c>
      <c r="X6" s="79" t="s">
        <v>630</v>
      </c>
      <c r="Y6" s="79" t="s">
        <v>631</v>
      </c>
      <c r="Z6" s="79" t="s">
        <v>632</v>
      </c>
      <c r="AA6" s="79" t="s">
        <v>630</v>
      </c>
      <c r="AB6" s="79" t="s">
        <v>631</v>
      </c>
      <c r="AC6" s="79" t="s">
        <v>632</v>
      </c>
      <c r="AD6" s="79" t="s">
        <v>630</v>
      </c>
      <c r="AE6" s="79" t="s">
        <v>631</v>
      </c>
      <c r="AF6" s="79" t="s">
        <v>632</v>
      </c>
    </row>
    <row r="7" spans="2:32" ht="3" customHeight="1" x14ac:dyDescent="0.3"/>
    <row r="8" spans="2:32" ht="3" customHeight="1" x14ac:dyDescent="0.3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X8" s="14"/>
      <c r="Y8" s="14"/>
      <c r="Z8" s="14"/>
      <c r="AA8" s="14"/>
      <c r="AB8" s="14"/>
      <c r="AC8" s="14"/>
      <c r="AD8" s="14"/>
      <c r="AE8" s="14"/>
      <c r="AF8" s="14"/>
    </row>
    <row r="9" spans="2:32" ht="3" customHeight="1" x14ac:dyDescent="0.3"/>
    <row r="10" spans="2:32" x14ac:dyDescent="0.3">
      <c r="G10" s="218"/>
      <c r="H10" s="84"/>
      <c r="I10" s="56"/>
      <c r="J10" s="56"/>
      <c r="K10" s="56"/>
      <c r="L10" s="56"/>
      <c r="M10" s="56"/>
      <c r="N10" s="56"/>
      <c r="O10" s="56"/>
      <c r="P10" s="56"/>
      <c r="Q10" s="56"/>
      <c r="R10" s="56"/>
      <c r="X10" s="25">
        <f>IFERROR(I10/'Assumptions&amp;Scenario'!U41-1, 0)</f>
      </c>
      <c r="Y10" s="25">
        <f>IFERROR(J10/'Assumptions&amp;Scenario'!U41-1, 0)</f>
      </c>
      <c r="Z10" s="25">
        <f>IFERROR(K10/'Assumptions&amp;Scenario'!U41-1, 0)</f>
      </c>
      <c r="AA10" s="25">
        <f>IFERROR(L10/Model!K176-1, 0)</f>
      </c>
      <c r="AB10" s="25">
        <f>IFERROR(M10/Model!K176-1, 0)</f>
      </c>
      <c r="AC10" s="25">
        <f>IFERROR(N10/Model!K176-1, 0)</f>
      </c>
      <c r="AD10" s="25">
        <f>IFERROR(O10/Model!K203-1, 0)</f>
      </c>
      <c r="AE10" s="25">
        <f>IFERROR(P10/Model!K203-1, 0)</f>
      </c>
      <c r="AF10" s="25">
        <f>IFERROR(Q10/Model!K203-1, 0)</f>
      </c>
    </row>
    <row r="11" spans="2:32" x14ac:dyDescent="0.3">
      <c r="G11" s="218"/>
      <c r="H11" s="84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22"/>
      <c r="T11" s="19"/>
      <c r="AA11" s="25">
        <f>IFERROR(L11/L10-1, 0)</f>
      </c>
      <c r="AB11" s="25">
        <f t="shared" ref="AB11:AF11" si="0">IFERROR(M11/M10-1, 0)</f>
      </c>
      <c r="AC11" s="25">
        <f t="shared" si="0"/>
      </c>
      <c r="AD11" s="25">
        <f t="shared" si="0"/>
      </c>
      <c r="AE11" s="25">
        <f t="shared" si="0"/>
      </c>
      <c r="AF11" s="25">
        <f t="shared" si="0"/>
      </c>
    </row>
    <row r="12" spans="2:32" x14ac:dyDescent="0.3">
      <c r="G12" s="218"/>
      <c r="H12" s="84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22"/>
      <c r="T12" s="19"/>
    </row>
    <row r="13" spans="2:32" x14ac:dyDescent="0.3">
      <c r="G13" s="218"/>
      <c r="H13" s="84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22"/>
      <c r="T13" s="19"/>
    </row>
    <row r="14" spans="2:32" x14ac:dyDescent="0.3">
      <c r="G14" s="218"/>
      <c r="H14" s="84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22"/>
      <c r="T14" s="19"/>
    </row>
    <row r="15" spans="2:32" x14ac:dyDescent="0.3">
      <c r="G15" s="218"/>
      <c r="H15" s="84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22"/>
      <c r="T15" s="19"/>
    </row>
    <row r="16" spans="2:32" x14ac:dyDescent="0.3">
      <c r="G16" s="218"/>
      <c r="H16" s="84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22"/>
      <c r="T16" s="19"/>
    </row>
    <row r="17" spans="7:20" x14ac:dyDescent="0.3">
      <c r="G17" s="218"/>
      <c r="H17" s="84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22"/>
      <c r="T17" s="19"/>
    </row>
    <row r="18" spans="7:20" x14ac:dyDescent="0.3">
      <c r="G18" s="218"/>
      <c r="H18" s="84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22"/>
      <c r="T18" s="19"/>
    </row>
    <row r="19" spans="7:20" x14ac:dyDescent="0.3">
      <c r="G19" s="218"/>
      <c r="H19" s="84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22"/>
      <c r="T19" s="19"/>
    </row>
    <row r="20" spans="7:20" x14ac:dyDescent="0.3">
      <c r="G20" s="218"/>
      <c r="H20" s="84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22"/>
      <c r="T20" s="19"/>
    </row>
    <row r="21" spans="7:20" x14ac:dyDescent="0.3">
      <c r="G21" s="218"/>
      <c r="H21" s="84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22"/>
      <c r="T21" s="19"/>
    </row>
    <row r="22" spans="7:20" x14ac:dyDescent="0.3">
      <c r="G22" s="218"/>
      <c r="H22" s="84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22"/>
      <c r="T22" s="19"/>
    </row>
    <row r="23" spans="7:20" x14ac:dyDescent="0.3">
      <c r="G23" s="218"/>
      <c r="H23" s="84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22"/>
      <c r="T23" s="19"/>
    </row>
    <row r="24" spans="7:20" x14ac:dyDescent="0.3">
      <c r="G24" s="218"/>
      <c r="H24" s="84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22"/>
      <c r="T24" s="19"/>
    </row>
    <row r="25" spans="7:20" x14ac:dyDescent="0.3">
      <c r="G25" s="218"/>
      <c r="H25" s="84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22"/>
      <c r="T25" s="19"/>
    </row>
    <row r="26" spans="7:20" x14ac:dyDescent="0.3">
      <c r="G26" s="218"/>
      <c r="H26" s="84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22"/>
      <c r="T26" s="19"/>
    </row>
    <row r="27" spans="7:20" x14ac:dyDescent="0.3">
      <c r="G27" s="218"/>
      <c r="H27" s="84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22"/>
      <c r="T27" s="19"/>
    </row>
    <row r="28" spans="7:20" x14ac:dyDescent="0.3">
      <c r="G28" s="218"/>
      <c r="H28" s="84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22"/>
      <c r="T28" s="19"/>
    </row>
    <row r="29" spans="7:20" x14ac:dyDescent="0.3">
      <c r="G29" s="218"/>
      <c r="H29" s="84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22"/>
      <c r="T29" s="19"/>
    </row>
    <row r="30" spans="7:20" x14ac:dyDescent="0.3">
      <c r="G30" s="218"/>
      <c r="H30" s="84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22"/>
      <c r="T30" s="19"/>
    </row>
    <row r="31" spans="7:20" x14ac:dyDescent="0.3">
      <c r="G31" s="218"/>
      <c r="H31" s="84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22"/>
      <c r="T31" s="19"/>
    </row>
    <row r="32" spans="7:20" x14ac:dyDescent="0.3">
      <c r="G32" s="218"/>
      <c r="H32" s="84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22"/>
      <c r="T32" s="19"/>
    </row>
    <row r="33" spans="7:20" x14ac:dyDescent="0.3">
      <c r="G33" s="218"/>
      <c r="H33" s="84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22"/>
      <c r="T33" s="19"/>
    </row>
    <row r="34" spans="7:20" x14ac:dyDescent="0.3">
      <c r="G34" s="218"/>
      <c r="H34" s="84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22"/>
      <c r="T34" s="19"/>
    </row>
    <row r="35" spans="7:20" x14ac:dyDescent="0.3">
      <c r="G35" s="218"/>
      <c r="H35" s="84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22"/>
      <c r="T35" s="19"/>
    </row>
    <row r="36" spans="7:20" x14ac:dyDescent="0.3">
      <c r="G36" s="218"/>
      <c r="H36" s="84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22"/>
      <c r="T36" s="19"/>
    </row>
    <row r="37" spans="7:20" x14ac:dyDescent="0.3">
      <c r="G37" s="218"/>
      <c r="H37" s="84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22"/>
      <c r="T37" s="19"/>
    </row>
    <row r="38" spans="7:20" x14ac:dyDescent="0.3">
      <c r="G38" s="218"/>
      <c r="H38" s="84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22"/>
      <c r="T38" s="19"/>
    </row>
    <row r="39" spans="7:20" x14ac:dyDescent="0.3">
      <c r="G39" s="218"/>
      <c r="H39" s="84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22"/>
      <c r="T39" s="19"/>
    </row>
    <row r="40" spans="7:20" x14ac:dyDescent="0.3">
      <c r="G40" s="218"/>
      <c r="H40" s="84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22"/>
      <c r="T40" s="19"/>
    </row>
    <row r="41" spans="7:20" x14ac:dyDescent="0.3">
      <c r="G41" s="218"/>
      <c r="H41" s="84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22"/>
      <c r="T41" s="19"/>
    </row>
    <row r="42" spans="7:20" x14ac:dyDescent="0.3">
      <c r="G42" s="218"/>
      <c r="H42" s="84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22"/>
      <c r="T42" s="19"/>
    </row>
    <row r="43" spans="7:20" x14ac:dyDescent="0.3">
      <c r="G43" s="218"/>
      <c r="H43" s="84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22"/>
      <c r="T43" s="19"/>
    </row>
    <row r="44" spans="7:20" x14ac:dyDescent="0.3">
      <c r="G44" s="218"/>
      <c r="H44" s="84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22"/>
      <c r="T44" s="19"/>
    </row>
    <row r="45" spans="7:20" x14ac:dyDescent="0.3">
      <c r="G45" s="218"/>
      <c r="H45" s="84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22"/>
      <c r="T45" s="19"/>
    </row>
    <row r="46" spans="7:20" x14ac:dyDescent="0.3">
      <c r="G46" s="218"/>
      <c r="H46" s="84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22"/>
      <c r="T46" s="19"/>
    </row>
    <row r="47" spans="7:20" x14ac:dyDescent="0.3">
      <c r="G47" s="218"/>
      <c r="H47" s="84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22"/>
      <c r="T47" s="19"/>
    </row>
    <row r="48" spans="7:20" x14ac:dyDescent="0.3">
      <c r="G48" s="218"/>
      <c r="H48" s="84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22"/>
      <c r="T48" s="19"/>
    </row>
    <row r="49" spans="2:23" x14ac:dyDescent="0.3">
      <c r="G49" s="218"/>
      <c r="H49" s="84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22"/>
      <c r="T49" s="19"/>
    </row>
    <row r="50" spans="2:23" x14ac:dyDescent="0.3">
      <c r="G50" s="218"/>
      <c r="H50" s="84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22"/>
      <c r="T50" s="19"/>
    </row>
    <row r="54" spans="2:23" ht="18" x14ac:dyDescent="0.35">
      <c r="B54" s="148" t="str">
        <f>'Assumptions&amp;Scenario'!$K$10</f>
      </c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</row>
    <row r="55" spans="2:23" ht="18" thickBot="1" x14ac:dyDescent="0.35">
      <c r="B55" s="47" t="s">
        <v>596</v>
      </c>
      <c r="C55" s="48"/>
      <c r="D55" s="48"/>
      <c r="E55" s="48"/>
      <c r="F55" s="48"/>
      <c r="G55" s="48"/>
      <c r="H55" s="49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spans="2:23" x14ac:dyDescent="0.3">
      <c r="C56" s="2"/>
      <c r="D56" s="2"/>
      <c r="E56" s="2"/>
      <c r="F56" s="2"/>
      <c r="J56" s="40"/>
      <c r="K56" s="40"/>
      <c r="L56" s="89"/>
      <c r="M56" s="89"/>
      <c r="N56" s="89"/>
      <c r="O56" s="89"/>
      <c r="P56" s="89"/>
      <c r="Q56" s="89"/>
      <c r="R56" s="89"/>
      <c r="S56" s="89"/>
      <c r="T56" s="89"/>
      <c r="U56" s="40"/>
      <c r="V56" s="40"/>
      <c r="W56" s="40"/>
    </row>
    <row r="57" spans="2:23" ht="15.6" x14ac:dyDescent="0.3">
      <c r="C57" s="43" t="s">
        <v>609</v>
      </c>
      <c r="D57" s="43" t="s">
        <v>79</v>
      </c>
      <c r="E57" s="44" t="s">
        <v>81</v>
      </c>
      <c r="F57" s="44" t="s">
        <v>587</v>
      </c>
      <c r="G57" s="44" t="s">
        <v>41</v>
      </c>
      <c r="H57" s="44" t="s">
        <v>611</v>
      </c>
      <c r="I57" s="44" t="s">
        <v>82</v>
      </c>
      <c r="J57" s="44" t="s">
        <v>600</v>
      </c>
      <c r="K57" s="43" t="s">
        <v>617</v>
      </c>
      <c r="L57" s="43" t="s">
        <v>608</v>
      </c>
      <c r="M57" s="79" t="s">
        <v>40</v>
      </c>
      <c r="N57" s="79" t="s">
        <v>588</v>
      </c>
      <c r="O57" s="79" t="s">
        <v>70</v>
      </c>
      <c r="P57" s="79" t="s">
        <v>589</v>
      </c>
      <c r="Q57" s="79" t="s">
        <v>618</v>
      </c>
      <c r="R57" s="79" t="s">
        <v>619</v>
      </c>
      <c r="S57" s="79" t="s">
        <v>620</v>
      </c>
      <c r="T57" s="79" t="s">
        <v>590</v>
      </c>
    </row>
    <row r="58" spans="2:23" ht="3" customHeight="1" x14ac:dyDescent="0.3"/>
    <row r="59" spans="2:23" ht="3" customHeight="1" x14ac:dyDescent="0.3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2:23" ht="3" customHeight="1" x14ac:dyDescent="0.3"/>
    <row r="61" spans="2:23" x14ac:dyDescent="0.3">
      <c r="C61" s="84"/>
      <c r="D61" s="84"/>
      <c r="E61" s="218"/>
      <c r="F61" s="56"/>
      <c r="G61" s="56"/>
      <c r="H61" s="84"/>
      <c r="I61" s="84"/>
      <c r="J61" s="56"/>
      <c r="K61" s="56"/>
      <c r="L61" s="224"/>
      <c r="M61" s="56"/>
      <c r="N61" s="56"/>
      <c r="O61" s="23"/>
      <c r="P61" s="56"/>
      <c r="Q61" s="56"/>
      <c r="R61" s="23"/>
      <c r="S61" s="23"/>
      <c r="T61" s="84"/>
    </row>
    <row r="62" spans="2:23" x14ac:dyDescent="0.3">
      <c r="C62" s="84"/>
      <c r="D62" s="84"/>
      <c r="E62" s="218"/>
      <c r="F62" s="56"/>
      <c r="G62" s="56"/>
      <c r="H62" s="84"/>
      <c r="I62" s="84"/>
      <c r="J62" s="56"/>
      <c r="K62" s="56"/>
      <c r="L62" s="224"/>
      <c r="M62" s="56"/>
      <c r="N62" s="56"/>
      <c r="O62" s="23"/>
      <c r="P62" s="56"/>
      <c r="Q62" s="56"/>
      <c r="R62" s="23"/>
      <c r="S62" s="23"/>
      <c r="T62" s="84"/>
    </row>
    <row r="63" spans="2:23" x14ac:dyDescent="0.3">
      <c r="C63" s="84"/>
      <c r="D63" s="84"/>
      <c r="E63" s="218"/>
      <c r="F63" s="56"/>
      <c r="G63" s="56"/>
      <c r="H63" s="84"/>
      <c r="I63" s="84"/>
      <c r="J63" s="56"/>
      <c r="K63" s="56"/>
      <c r="L63" s="224"/>
      <c r="M63" s="56"/>
      <c r="N63" s="56"/>
      <c r="O63" s="23"/>
      <c r="P63" s="56"/>
      <c r="Q63" s="56"/>
      <c r="R63" s="23"/>
      <c r="S63" s="23"/>
      <c r="T63" s="84"/>
    </row>
    <row r="64" spans="2:23" x14ac:dyDescent="0.3">
      <c r="C64" s="84"/>
      <c r="D64" s="84"/>
      <c r="E64" s="218"/>
      <c r="F64" s="56"/>
      <c r="G64" s="56"/>
      <c r="H64" s="84"/>
      <c r="I64" s="84"/>
      <c r="J64" s="56"/>
      <c r="K64" s="56"/>
      <c r="L64" s="224"/>
      <c r="M64" s="56"/>
      <c r="N64" s="56"/>
      <c r="O64" s="23"/>
      <c r="P64" s="56"/>
      <c r="Q64" s="56"/>
      <c r="R64" s="23"/>
      <c r="S64" s="23"/>
      <c r="T64" s="84"/>
    </row>
    <row r="65" spans="3:20" x14ac:dyDescent="0.3">
      <c r="C65" s="84"/>
      <c r="D65" s="84"/>
      <c r="E65" s="218"/>
      <c r="F65" s="56"/>
      <c r="G65" s="56"/>
      <c r="H65" s="84"/>
      <c r="I65" s="84"/>
      <c r="J65" s="56"/>
      <c r="K65" s="56"/>
      <c r="L65" s="224"/>
      <c r="M65" s="56"/>
      <c r="N65" s="56"/>
      <c r="O65" s="23"/>
      <c r="P65" s="56"/>
      <c r="Q65" s="56"/>
      <c r="R65" s="23"/>
      <c r="S65" s="23"/>
      <c r="T65" s="84"/>
    </row>
    <row r="66" spans="3:20" x14ac:dyDescent="0.3">
      <c r="C66" s="84"/>
      <c r="D66" s="84"/>
      <c r="E66" s="218"/>
      <c r="F66" s="56"/>
      <c r="G66" s="56"/>
      <c r="H66" s="84"/>
      <c r="I66" s="84"/>
      <c r="J66" s="56"/>
      <c r="K66" s="56"/>
      <c r="L66" s="224"/>
      <c r="M66" s="56"/>
      <c r="N66" s="56"/>
      <c r="O66" s="23"/>
      <c r="P66" s="56"/>
      <c r="Q66" s="56"/>
      <c r="R66" s="23"/>
      <c r="S66" s="23"/>
      <c r="T66" s="84"/>
    </row>
    <row r="67" spans="3:20" x14ac:dyDescent="0.3">
      <c r="C67" s="84"/>
      <c r="D67" s="84"/>
      <c r="E67" s="218"/>
      <c r="F67" s="56"/>
      <c r="G67" s="56"/>
      <c r="H67" s="84"/>
      <c r="I67" s="84"/>
      <c r="J67" s="56"/>
      <c r="K67" s="56"/>
      <c r="L67" s="224"/>
      <c r="M67" s="56"/>
      <c r="N67" s="56"/>
      <c r="O67" s="23"/>
      <c r="P67" s="56"/>
      <c r="Q67" s="56"/>
      <c r="R67" s="23"/>
      <c r="S67" s="23"/>
      <c r="T67" s="84"/>
    </row>
    <row r="68" spans="3:20" x14ac:dyDescent="0.3">
      <c r="C68" s="84"/>
      <c r="D68" s="84"/>
      <c r="E68" s="218"/>
      <c r="F68" s="56"/>
      <c r="G68" s="56"/>
      <c r="H68" s="84"/>
      <c r="I68" s="84"/>
      <c r="J68" s="56"/>
      <c r="K68" s="56"/>
      <c r="L68" s="224"/>
      <c r="M68" s="56"/>
      <c r="N68" s="56"/>
      <c r="O68" s="23"/>
      <c r="P68" s="56"/>
      <c r="Q68" s="56"/>
      <c r="R68" s="23"/>
      <c r="S68" s="23"/>
      <c r="T68" s="84"/>
    </row>
    <row r="69" spans="3:20" x14ac:dyDescent="0.3">
      <c r="C69" s="84"/>
      <c r="D69" s="84"/>
      <c r="E69" s="218"/>
      <c r="F69" s="56"/>
      <c r="G69" s="56"/>
      <c r="H69" s="84"/>
      <c r="I69" s="84"/>
      <c r="J69" s="56"/>
      <c r="K69" s="56"/>
      <c r="L69" s="224"/>
      <c r="M69" s="56"/>
      <c r="N69" s="56"/>
      <c r="O69" s="23"/>
      <c r="P69" s="56"/>
      <c r="Q69" s="56"/>
      <c r="R69" s="23"/>
      <c r="S69" s="23"/>
      <c r="T69" s="84"/>
    </row>
    <row r="70" spans="3:20" x14ac:dyDescent="0.3">
      <c r="C70" s="84"/>
      <c r="D70" s="84"/>
      <c r="E70" s="218"/>
      <c r="F70" s="56"/>
      <c r="G70" s="56"/>
      <c r="H70" s="84"/>
      <c r="I70" s="84"/>
      <c r="J70" s="56"/>
      <c r="K70" s="56"/>
      <c r="L70" s="224"/>
      <c r="M70" s="56"/>
      <c r="N70" s="56"/>
      <c r="O70" s="23"/>
      <c r="P70" s="56"/>
      <c r="Q70" s="56"/>
      <c r="R70" s="23"/>
      <c r="S70" s="23"/>
      <c r="T70" s="84"/>
    </row>
    <row r="71" spans="3:20" x14ac:dyDescent="0.3">
      <c r="C71" s="84"/>
      <c r="D71" s="84"/>
      <c r="E71" s="218"/>
      <c r="F71" s="56"/>
      <c r="G71" s="56"/>
      <c r="H71" s="84"/>
      <c r="I71" s="84"/>
      <c r="J71" s="56"/>
      <c r="K71" s="56"/>
      <c r="L71" s="224"/>
      <c r="M71" s="56"/>
      <c r="N71" s="56"/>
      <c r="O71" s="23"/>
      <c r="P71" s="56"/>
      <c r="Q71" s="56"/>
      <c r="R71" s="23"/>
      <c r="S71" s="23"/>
      <c r="T71" s="84"/>
    </row>
    <row r="72" spans="3:20" x14ac:dyDescent="0.3">
      <c r="C72" s="84"/>
      <c r="D72" s="84"/>
      <c r="E72" s="218"/>
      <c r="F72" s="56"/>
      <c r="G72" s="56"/>
      <c r="H72" s="84"/>
      <c r="I72" s="84"/>
      <c r="J72" s="56"/>
      <c r="K72" s="56"/>
      <c r="L72" s="224"/>
      <c r="M72" s="56"/>
      <c r="N72" s="56"/>
      <c r="O72" s="23"/>
      <c r="P72" s="56"/>
      <c r="Q72" s="56"/>
      <c r="R72" s="23"/>
      <c r="S72" s="23"/>
      <c r="T72" s="84"/>
    </row>
    <row r="73" spans="3:20" x14ac:dyDescent="0.3">
      <c r="C73" s="84"/>
      <c r="D73" s="84"/>
      <c r="E73" s="218"/>
      <c r="F73" s="56"/>
      <c r="G73" s="56"/>
      <c r="H73" s="84"/>
      <c r="I73" s="84"/>
      <c r="J73" s="56"/>
      <c r="K73" s="56"/>
      <c r="L73" s="224"/>
      <c r="M73" s="56"/>
      <c r="N73" s="56"/>
      <c r="O73" s="23"/>
      <c r="P73" s="56"/>
      <c r="Q73" s="56"/>
      <c r="R73" s="23"/>
      <c r="S73" s="23"/>
      <c r="T73" s="84"/>
    </row>
    <row r="74" spans="3:20" x14ac:dyDescent="0.3">
      <c r="C74" s="84"/>
      <c r="D74" s="84"/>
      <c r="E74" s="218"/>
      <c r="F74" s="56"/>
      <c r="G74" s="56"/>
      <c r="H74" s="84"/>
      <c r="I74" s="84"/>
      <c r="J74" s="56"/>
      <c r="K74" s="56"/>
      <c r="L74" s="224"/>
      <c r="M74" s="56"/>
      <c r="N74" s="56"/>
      <c r="O74" s="23"/>
      <c r="P74" s="56"/>
      <c r="Q74" s="56"/>
      <c r="R74" s="23"/>
      <c r="S74" s="23"/>
      <c r="T74" s="84"/>
    </row>
    <row r="75" spans="3:20" x14ac:dyDescent="0.3">
      <c r="C75" s="84"/>
      <c r="D75" s="84"/>
      <c r="E75" s="218"/>
      <c r="F75" s="56"/>
      <c r="G75" s="56"/>
      <c r="H75" s="84"/>
      <c r="I75" s="84"/>
      <c r="J75" s="56"/>
      <c r="K75" s="56"/>
      <c r="L75" s="224"/>
      <c r="M75" s="56"/>
      <c r="N75" s="56"/>
      <c r="O75" s="23"/>
      <c r="P75" s="56"/>
      <c r="Q75" s="56"/>
      <c r="R75" s="23"/>
      <c r="S75" s="23"/>
      <c r="T75" s="84"/>
    </row>
    <row r="76" spans="3:20" x14ac:dyDescent="0.3">
      <c r="C76" s="84"/>
      <c r="D76" s="84"/>
      <c r="E76" s="218"/>
      <c r="F76" s="56"/>
      <c r="G76" s="56"/>
      <c r="H76" s="84"/>
      <c r="I76" s="84"/>
      <c r="J76" s="56"/>
      <c r="K76" s="56"/>
      <c r="L76" s="224"/>
      <c r="M76" s="56"/>
      <c r="N76" s="56"/>
      <c r="O76" s="23"/>
      <c r="P76" s="56"/>
      <c r="Q76" s="56"/>
      <c r="R76" s="23"/>
      <c r="S76" s="23"/>
      <c r="T76" s="84"/>
    </row>
    <row r="77" spans="3:20" x14ac:dyDescent="0.3">
      <c r="C77" s="84"/>
      <c r="D77" s="84"/>
      <c r="E77" s="218"/>
      <c r="F77" s="56"/>
      <c r="G77" s="56"/>
      <c r="H77" s="84"/>
      <c r="I77" s="84"/>
      <c r="J77" s="56"/>
      <c r="K77" s="56"/>
      <c r="L77" s="224"/>
      <c r="M77" s="56"/>
      <c r="N77" s="56"/>
      <c r="O77" s="23"/>
      <c r="P77" s="56"/>
      <c r="Q77" s="56"/>
      <c r="R77" s="23"/>
      <c r="S77" s="23"/>
      <c r="T77" s="84"/>
    </row>
    <row r="78" spans="3:20" x14ac:dyDescent="0.3">
      <c r="C78" s="84"/>
      <c r="D78" s="84"/>
      <c r="E78" s="218"/>
      <c r="F78" s="56"/>
      <c r="G78" s="56"/>
      <c r="H78" s="84"/>
      <c r="I78" s="84"/>
      <c r="J78" s="56"/>
      <c r="K78" s="56"/>
      <c r="L78" s="224"/>
      <c r="M78" s="56"/>
      <c r="N78" s="56"/>
      <c r="O78" s="23"/>
      <c r="P78" s="56"/>
      <c r="Q78" s="56"/>
      <c r="R78" s="23"/>
      <c r="S78" s="23"/>
      <c r="T78" s="84"/>
    </row>
    <row r="79" spans="3:20" x14ac:dyDescent="0.3">
      <c r="C79" s="84"/>
      <c r="D79" s="84"/>
      <c r="E79" s="218"/>
      <c r="F79" s="56"/>
      <c r="G79" s="56"/>
      <c r="H79" s="84"/>
      <c r="I79" s="84"/>
      <c r="J79" s="56"/>
      <c r="K79" s="56"/>
      <c r="L79" s="224"/>
      <c r="M79" s="56"/>
      <c r="N79" s="56"/>
      <c r="O79" s="23"/>
      <c r="P79" s="56"/>
      <c r="Q79" s="56"/>
      <c r="R79" s="23"/>
      <c r="S79" s="23"/>
      <c r="T79" s="84"/>
    </row>
    <row r="80" spans="3:20" x14ac:dyDescent="0.3">
      <c r="C80" s="84"/>
      <c r="D80" s="84"/>
      <c r="E80" s="218"/>
      <c r="F80" s="56"/>
      <c r="G80" s="56"/>
      <c r="H80" s="84"/>
      <c r="I80" s="84"/>
      <c r="J80" s="56"/>
      <c r="K80" s="56"/>
      <c r="L80" s="224"/>
      <c r="M80" s="56"/>
      <c r="N80" s="56"/>
      <c r="O80" s="23"/>
      <c r="P80" s="56"/>
      <c r="Q80" s="56"/>
      <c r="R80" s="23"/>
      <c r="S80" s="23"/>
      <c r="T80" s="84"/>
    </row>
    <row r="81" spans="3:20" x14ac:dyDescent="0.3">
      <c r="C81" s="84"/>
      <c r="D81" s="84"/>
      <c r="E81" s="218"/>
      <c r="F81" s="56"/>
      <c r="G81" s="56"/>
      <c r="H81" s="84"/>
      <c r="I81" s="84"/>
      <c r="J81" s="56"/>
      <c r="K81" s="56"/>
      <c r="L81" s="224"/>
      <c r="M81" s="56"/>
      <c r="N81" s="56"/>
      <c r="O81" s="23"/>
      <c r="P81" s="56"/>
      <c r="Q81" s="56"/>
      <c r="R81" s="23"/>
      <c r="S81" s="23"/>
      <c r="T81" s="84"/>
    </row>
    <row r="82" spans="3:20" x14ac:dyDescent="0.3">
      <c r="C82" s="84"/>
      <c r="D82" s="84"/>
      <c r="E82" s="218"/>
      <c r="F82" s="56"/>
      <c r="G82" s="56"/>
      <c r="H82" s="84"/>
      <c r="I82" s="84"/>
      <c r="J82" s="56"/>
      <c r="K82" s="56"/>
      <c r="L82" s="224"/>
      <c r="M82" s="56"/>
      <c r="N82" s="56"/>
      <c r="O82" s="23"/>
      <c r="P82" s="56"/>
      <c r="Q82" s="56"/>
      <c r="R82" s="23"/>
      <c r="S82" s="23"/>
      <c r="T82" s="84"/>
    </row>
    <row r="83" spans="3:20" x14ac:dyDescent="0.3">
      <c r="C83" s="84"/>
      <c r="D83" s="84"/>
      <c r="E83" s="218"/>
      <c r="F83" s="56"/>
      <c r="G83" s="56"/>
      <c r="H83" s="84"/>
      <c r="I83" s="84"/>
      <c r="J83" s="56"/>
      <c r="K83" s="56"/>
      <c r="L83" s="224"/>
      <c r="M83" s="56"/>
      <c r="N83" s="56"/>
      <c r="O83" s="23"/>
      <c r="P83" s="56"/>
      <c r="Q83" s="56"/>
      <c r="R83" s="23"/>
      <c r="S83" s="23"/>
      <c r="T83" s="84"/>
    </row>
    <row r="84" spans="3:20" x14ac:dyDescent="0.3">
      <c r="C84" s="84"/>
      <c r="D84" s="84"/>
      <c r="E84" s="218"/>
      <c r="F84" s="56"/>
      <c r="G84" s="56"/>
      <c r="H84" s="84"/>
      <c r="I84" s="84"/>
      <c r="J84" s="56"/>
      <c r="K84" s="56"/>
      <c r="L84" s="224"/>
      <c r="M84" s="56"/>
      <c r="N84" s="56"/>
      <c r="O84" s="23"/>
      <c r="P84" s="56"/>
      <c r="Q84" s="56"/>
      <c r="R84" s="23"/>
      <c r="S84" s="23"/>
      <c r="T84" s="84"/>
    </row>
    <row r="85" spans="3:20" x14ac:dyDescent="0.3">
      <c r="C85" s="84"/>
      <c r="D85" s="84"/>
      <c r="E85" s="218"/>
      <c r="F85" s="56"/>
      <c r="G85" s="56"/>
      <c r="H85" s="84"/>
      <c r="I85" s="84"/>
      <c r="J85" s="56"/>
      <c r="K85" s="56"/>
      <c r="L85" s="224"/>
      <c r="M85" s="56"/>
      <c r="N85" s="56"/>
      <c r="O85" s="23"/>
      <c r="P85" s="56"/>
      <c r="Q85" s="56"/>
      <c r="R85" s="23"/>
      <c r="S85" s="23"/>
      <c r="T85" s="84"/>
    </row>
    <row r="86" spans="3:20" x14ac:dyDescent="0.3">
      <c r="C86" s="84"/>
      <c r="D86" s="84"/>
      <c r="E86" s="218"/>
      <c r="F86" s="56"/>
      <c r="G86" s="56"/>
      <c r="H86" s="84"/>
      <c r="I86" s="84"/>
      <c r="J86" s="56"/>
      <c r="K86" s="56"/>
      <c r="L86" s="224"/>
      <c r="M86" s="56"/>
      <c r="N86" s="56"/>
      <c r="O86" s="23"/>
      <c r="P86" s="56"/>
      <c r="Q86" s="56"/>
      <c r="R86" s="23"/>
      <c r="S86" s="23"/>
      <c r="T86" s="84"/>
    </row>
    <row r="87" spans="3:20" x14ac:dyDescent="0.3">
      <c r="C87" s="84"/>
      <c r="D87" s="84"/>
      <c r="E87" s="218"/>
      <c r="F87" s="56"/>
      <c r="G87" s="56"/>
      <c r="H87" s="84"/>
      <c r="I87" s="84"/>
      <c r="J87" s="56"/>
      <c r="K87" s="56"/>
      <c r="L87" s="224"/>
      <c r="M87" s="56"/>
      <c r="N87" s="56"/>
      <c r="O87" s="23"/>
      <c r="P87" s="56"/>
      <c r="Q87" s="56"/>
      <c r="R87" s="23"/>
      <c r="S87" s="23"/>
      <c r="T87" s="84"/>
    </row>
    <row r="88" spans="3:20" x14ac:dyDescent="0.3">
      <c r="C88" s="84"/>
      <c r="D88" s="84"/>
      <c r="E88" s="218"/>
      <c r="F88" s="56"/>
      <c r="G88" s="56"/>
      <c r="H88" s="84"/>
      <c r="I88" s="84"/>
      <c r="J88" s="56"/>
      <c r="K88" s="56"/>
      <c r="L88" s="224"/>
      <c r="M88" s="56"/>
      <c r="N88" s="56"/>
      <c r="O88" s="23"/>
      <c r="P88" s="56"/>
      <c r="Q88" s="56"/>
      <c r="R88" s="23"/>
      <c r="S88" s="23"/>
      <c r="T88" s="84"/>
    </row>
    <row r="89" spans="3:20" x14ac:dyDescent="0.3">
      <c r="C89" s="84"/>
      <c r="D89" s="84"/>
      <c r="E89" s="218"/>
      <c r="F89" s="56"/>
      <c r="G89" s="56"/>
      <c r="H89" s="84"/>
      <c r="I89" s="84"/>
      <c r="J89" s="56"/>
      <c r="K89" s="56"/>
      <c r="L89" s="224"/>
      <c r="M89" s="56"/>
      <c r="N89" s="56"/>
      <c r="O89" s="23"/>
      <c r="P89" s="56"/>
      <c r="Q89" s="56"/>
      <c r="R89" s="23"/>
      <c r="S89" s="23"/>
      <c r="T89" s="84"/>
    </row>
    <row r="90" spans="3:20" x14ac:dyDescent="0.3">
      <c r="C90" s="84"/>
      <c r="D90" s="84"/>
      <c r="E90" s="218"/>
      <c r="F90" s="56"/>
      <c r="G90" s="56"/>
      <c r="H90" s="84"/>
      <c r="I90" s="84"/>
      <c r="J90" s="56"/>
      <c r="K90" s="56"/>
      <c r="L90" s="224"/>
      <c r="M90" s="56"/>
      <c r="N90" s="56"/>
      <c r="O90" s="23"/>
      <c r="P90" s="56"/>
      <c r="Q90" s="56"/>
      <c r="R90" s="23"/>
      <c r="S90" s="23"/>
      <c r="T90" s="84"/>
    </row>
    <row r="91" spans="3:20" x14ac:dyDescent="0.3">
      <c r="C91" s="84"/>
      <c r="D91" s="84"/>
      <c r="E91" s="218"/>
      <c r="F91" s="56"/>
      <c r="G91" s="56"/>
      <c r="H91" s="84"/>
      <c r="I91" s="84"/>
      <c r="J91" s="56"/>
      <c r="K91" s="56"/>
      <c r="L91" s="224"/>
      <c r="M91" s="56"/>
      <c r="N91" s="56"/>
      <c r="O91" s="23"/>
      <c r="P91" s="56"/>
      <c r="Q91" s="56"/>
      <c r="R91" s="23"/>
      <c r="S91" s="23"/>
      <c r="T91" s="84"/>
    </row>
    <row r="92" spans="3:20" x14ac:dyDescent="0.3">
      <c r="C92" s="84"/>
      <c r="D92" s="84"/>
      <c r="E92" s="218"/>
      <c r="F92" s="56"/>
      <c r="G92" s="56"/>
      <c r="H92" s="84"/>
      <c r="I92" s="84"/>
      <c r="J92" s="56"/>
      <c r="K92" s="56"/>
      <c r="L92" s="224"/>
      <c r="M92" s="56"/>
      <c r="N92" s="56"/>
      <c r="O92" s="23"/>
      <c r="P92" s="56"/>
      <c r="Q92" s="56"/>
      <c r="R92" s="23"/>
      <c r="S92" s="23"/>
      <c r="T92" s="84"/>
    </row>
    <row r="93" spans="3:20" x14ac:dyDescent="0.3">
      <c r="C93" s="84"/>
      <c r="D93" s="84"/>
      <c r="E93" s="218"/>
      <c r="F93" s="56"/>
      <c r="G93" s="56"/>
      <c r="H93" s="84"/>
      <c r="I93" s="84"/>
      <c r="J93" s="56"/>
      <c r="K93" s="56"/>
      <c r="L93" s="224"/>
      <c r="M93" s="56"/>
      <c r="N93" s="56"/>
      <c r="O93" s="23"/>
      <c r="P93" s="56"/>
      <c r="Q93" s="56"/>
      <c r="R93" s="23"/>
      <c r="S93" s="23"/>
      <c r="T93" s="84"/>
    </row>
    <row r="94" spans="3:20" x14ac:dyDescent="0.3">
      <c r="C94" s="84"/>
      <c r="D94" s="84"/>
      <c r="E94" s="218"/>
      <c r="F94" s="56"/>
      <c r="G94" s="56"/>
      <c r="H94" s="84"/>
      <c r="I94" s="84"/>
      <c r="J94" s="56"/>
      <c r="K94" s="56"/>
      <c r="L94" s="224"/>
      <c r="M94" s="56"/>
      <c r="N94" s="56"/>
      <c r="O94" s="23"/>
      <c r="P94" s="56"/>
      <c r="Q94" s="56"/>
      <c r="R94" s="23"/>
      <c r="S94" s="23"/>
      <c r="T94" s="84"/>
    </row>
    <row r="95" spans="3:20" x14ac:dyDescent="0.3">
      <c r="C95" s="84"/>
      <c r="D95" s="84"/>
      <c r="E95" s="218"/>
      <c r="F95" s="56"/>
      <c r="G95" s="56"/>
      <c r="H95" s="84"/>
      <c r="I95" s="84"/>
      <c r="J95" s="56"/>
      <c r="K95" s="56"/>
      <c r="L95" s="224"/>
      <c r="M95" s="56"/>
      <c r="N95" s="56"/>
      <c r="O95" s="23"/>
      <c r="P95" s="56"/>
      <c r="Q95" s="56"/>
      <c r="R95" s="23"/>
      <c r="S95" s="23"/>
      <c r="T95" s="84"/>
    </row>
    <row r="96" spans="3:20" x14ac:dyDescent="0.3">
      <c r="C96" s="84"/>
      <c r="D96" s="84"/>
      <c r="E96" s="218"/>
      <c r="F96" s="56"/>
      <c r="G96" s="56"/>
      <c r="H96" s="84"/>
      <c r="I96" s="84"/>
      <c r="J96" s="56"/>
      <c r="K96" s="56"/>
      <c r="L96" s="224"/>
      <c r="M96" s="56"/>
      <c r="N96" s="56"/>
      <c r="O96" s="23"/>
      <c r="P96" s="56"/>
      <c r="Q96" s="56"/>
      <c r="R96" s="23"/>
      <c r="S96" s="23"/>
      <c r="T96" s="84"/>
    </row>
    <row r="97" spans="3:20" x14ac:dyDescent="0.3">
      <c r="C97" s="84"/>
      <c r="D97" s="84"/>
      <c r="E97" s="218"/>
      <c r="F97" s="56"/>
      <c r="G97" s="56"/>
      <c r="H97" s="84"/>
      <c r="I97" s="84"/>
      <c r="J97" s="56"/>
      <c r="K97" s="56"/>
      <c r="L97" s="224"/>
      <c r="M97" s="56"/>
      <c r="N97" s="56"/>
      <c r="O97" s="23"/>
      <c r="P97" s="56"/>
      <c r="Q97" s="56"/>
      <c r="R97" s="23"/>
      <c r="S97" s="23"/>
      <c r="T97" s="84"/>
    </row>
    <row r="98" spans="3:20" x14ac:dyDescent="0.3">
      <c r="C98" s="84"/>
      <c r="D98" s="84"/>
      <c r="E98" s="218"/>
      <c r="F98" s="56"/>
      <c r="G98" s="56"/>
      <c r="H98" s="84"/>
      <c r="I98" s="84"/>
      <c r="J98" s="56"/>
      <c r="K98" s="56"/>
      <c r="L98" s="224"/>
      <c r="M98" s="56"/>
      <c r="N98" s="56"/>
      <c r="O98" s="23"/>
      <c r="P98" s="56"/>
      <c r="Q98" s="56"/>
      <c r="R98" s="23"/>
      <c r="S98" s="23"/>
      <c r="T98" s="84"/>
    </row>
    <row r="99" spans="3:20" x14ac:dyDescent="0.3">
      <c r="C99" s="84"/>
      <c r="D99" s="84"/>
      <c r="E99" s="218"/>
      <c r="F99" s="56"/>
      <c r="G99" s="56"/>
      <c r="H99" s="84"/>
      <c r="I99" s="84"/>
      <c r="J99" s="56"/>
      <c r="K99" s="56"/>
      <c r="L99" s="224"/>
      <c r="M99" s="56"/>
      <c r="N99" s="56"/>
      <c r="O99" s="23"/>
      <c r="P99" s="56"/>
      <c r="Q99" s="56"/>
      <c r="R99" s="23"/>
      <c r="S99" s="23"/>
      <c r="T99" s="84"/>
    </row>
    <row r="100" spans="3:20" x14ac:dyDescent="0.3">
      <c r="C100" s="84"/>
      <c r="D100" s="84"/>
      <c r="E100" s="218"/>
      <c r="F100" s="56"/>
      <c r="G100" s="56"/>
      <c r="H100" s="84"/>
      <c r="I100" s="84"/>
      <c r="J100" s="56"/>
      <c r="K100" s="56"/>
      <c r="L100" s="224"/>
      <c r="M100" s="56"/>
      <c r="N100" s="56"/>
      <c r="O100" s="23"/>
      <c r="P100" s="56"/>
      <c r="Q100" s="56"/>
      <c r="R100" s="23"/>
      <c r="S100" s="23"/>
      <c r="T100" s="84"/>
    </row>
    <row r="101" spans="3:20" x14ac:dyDescent="0.3">
      <c r="C101" s="84"/>
      <c r="D101" s="84"/>
      <c r="E101" s="218"/>
      <c r="F101" s="56"/>
      <c r="G101" s="56"/>
      <c r="H101" s="84"/>
      <c r="I101" s="84"/>
      <c r="J101" s="56"/>
      <c r="K101" s="56"/>
      <c r="L101" s="224"/>
      <c r="M101" s="56"/>
      <c r="N101" s="56"/>
      <c r="O101" s="23"/>
      <c r="P101" s="56"/>
      <c r="Q101" s="56"/>
      <c r="R101" s="23"/>
      <c r="S101" s="23"/>
      <c r="T101" s="84"/>
    </row>
  </sheetData>
  <autoFilter ref="C57:T57" xr:uid="{60AA8BFE-3ECF-4A33-90AE-9BFCA9E4FB6A}"/>
  <dataValidations count="3">
    <dataValidation type="list" sqref="C61:C101" xr:uid="{115CB321-C183-479F-9909-0902E372C385}">
      <formula1>" ,RE,CU,"</formula1>
    </dataValidation>
    <dataValidation type="list" allowBlank="1" sqref="H61:H101" xr:uid="{BAA4FAAA-8EA9-410D-B618-178A65957DBF}">
      <formula1>"MOSL, AMBIT, AXIS, ICICIDIRECT, PL, KOTAK, SK"</formula1>
    </dataValidation>
    <dataValidation type="list" allowBlank="1" showInputMessage="1" showErrorMessage="1" sqref="I61:I101" xr:uid="{11AFD3E6-921C-4ABE-8681-E01394340827}">
      <formula1>"Buy, Add, Accumulate, Hold, Neutral, Sell, Reduce, NR, UR"</formula1>
    </dataValidation>
  </dataValidations>
  <printOptions horizontalCentered="1"/>
  <pageMargins left="3.937007874015748E-2" right="3.937007874015748E-2" top="0.19685039370078741" bottom="0.19685039370078741" header="0.11811023622047245" footer="0.11811023622047245"/>
  <pageSetup paperSize="5" scale="82" orientation="landscape" r:id="rId1"/>
  <headerFooter>
    <oddFooter>&amp;L&amp;A&amp;CPage &amp;P of &amp;N&amp;R&amp;F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80" zoomScaleNormal="80" zoomScalePageLayoutView="150" workbookViewId="0"/>
  </sheetViews>
  <sheetFormatPr defaultColWidth="8.88671875" defaultRowHeight="14.4" x14ac:dyDescent="0.3"/>
  <cols>
    <col min="1" max="1" width="8.88671875" style="2"/>
    <col min="2" max="2" width="10.44140625" customWidth="1"/>
    <col min="3" max="3" width="13.44140625" style="9" customWidth="1"/>
    <col min="6" max="6" width="6.88671875" customWidth="1"/>
  </cols>
  <sheetData>
    <row r="1" spans="1:7" ht="21" x14ac:dyDescent="0.4">
      <c r="A1" s="8" t="s">
        <v>39</v>
      </c>
    </row>
    <row r="3" spans="1:7" x14ac:dyDescent="0.3">
      <c r="A3" s="2" t="s">
        <v>31</v>
      </c>
    </row>
    <row r="4" spans="1:7" x14ac:dyDescent="0.3">
      <c r="B4" t="s">
        <v>67</v>
      </c>
    </row>
    <row r="5" spans="1:7" x14ac:dyDescent="0.3">
      <c r="B5" t="s">
        <v>32</v>
      </c>
    </row>
    <row r="7" spans="1:7" x14ac:dyDescent="0.3">
      <c r="A7" s="2" t="s">
        <v>33</v>
      </c>
    </row>
    <row r="8" spans="1:7" x14ac:dyDescent="0.3">
      <c r="B8" t="s">
        <v>34</v>
      </c>
      <c r="C8" s="10" t="s">
        <v>68</v>
      </c>
    </row>
    <row r="10" spans="1:7" x14ac:dyDescent="0.3">
      <c r="A10" s="2" t="s">
        <v>35</v>
      </c>
    </row>
    <row r="11" spans="1:7" x14ac:dyDescent="0.3">
      <c r="B11" t="s">
        <v>36</v>
      </c>
    </row>
    <row r="14" spans="1:7" x14ac:dyDescent="0.3">
      <c r="A14" s="2" t="s">
        <v>37</v>
      </c>
    </row>
    <row r="15" spans="1:7" x14ac:dyDescent="0.3">
      <c r="B15" t="s">
        <v>38</v>
      </c>
    </row>
    <row r="16" spans="1:7" x14ac:dyDescent="0.3">
      <c r="B16" t="s">
        <v>69</v>
      </c>
      <c r="G16" s="11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80" zoomScaleNormal="80" zoomScalePageLayoutView="120" workbookViewId="0">
      <pane xSplit="1" ySplit="1" topLeftCell="B65" activePane="bottomRight" state="frozen"/>
      <selection activeCell="C4" sqref="C4"/>
      <selection pane="topRight" activeCell="C4" sqref="C4"/>
      <selection pane="bottomLeft" activeCell="C4" sqref="C4"/>
      <selection pane="bottomRight" activeCell="K49" sqref="K49"/>
    </sheetView>
  </sheetViews>
  <sheetFormatPr defaultColWidth="8.88671875" defaultRowHeight="14.4" x14ac:dyDescent="0.3"/>
  <cols>
    <col min="1" max="1" width="27.5546875" style="3" bestFit="1" customWidth="1"/>
    <col min="2" max="11" width="13.44140625" style="3" bestFit="1" customWidth="1"/>
    <col min="12" max="16384" width="8.88671875" style="3"/>
  </cols>
  <sheetData>
    <row r="1" spans="1:11" s="1" customFormat="1" x14ac:dyDescent="0.3">
      <c r="A1" s="1" t="s">
        <v>0</v>
      </c>
      <c r="B1" s="1" t="s">
        <v>45</v>
      </c>
      <c r="E1" s="250" t="str">
        <f>IF(B2&lt;&gt;B3, "A NEW VERSION OF THE WORKSHEET IS AVAILABLE", "")</f>
      </c>
      <c r="F1" s="250"/>
      <c r="G1" s="250"/>
      <c r="H1" s="250"/>
      <c r="I1" s="250"/>
      <c r="J1" s="250"/>
      <c r="K1" s="250"/>
    </row>
    <row r="2" spans="1:11" x14ac:dyDescent="0.3">
      <c r="A2" s="1" t="s">
        <v>43</v>
      </c>
      <c r="B2" s="3">
        <v>2.1</v>
      </c>
      <c r="E2" s="251" t="s">
        <v>22</v>
      </c>
      <c r="F2" s="251"/>
      <c r="G2" s="251"/>
      <c r="H2" s="251"/>
      <c r="I2" s="251"/>
      <c r="J2" s="251"/>
      <c r="K2" s="251"/>
    </row>
    <row r="3" spans="1:11" x14ac:dyDescent="0.3">
      <c r="A3" s="1" t="s">
        <v>44</v>
      </c>
      <c r="B3" s="3">
        <v>2.1</v>
      </c>
    </row>
    <row r="4" spans="1:11" x14ac:dyDescent="0.3">
      <c r="A4" s="1"/>
    </row>
    <row r="5" spans="1:11" x14ac:dyDescent="0.3">
      <c r="A5" s="1" t="s">
        <v>46</v>
      </c>
    </row>
    <row r="6" spans="1:11" x14ac:dyDescent="0.3">
      <c r="A6" s="3" t="s">
        <v>28</v>
      </c>
      <c r="B6" s="3">
        <f>IF(B9&gt;0, B9/B8, 0)</f>
      </c>
    </row>
    <row r="7" spans="1:11" x14ac:dyDescent="0.3">
      <c r="A7" s="3" t="s">
        <v>17</v>
      </c>
      <c r="B7">
        <v>1.00</v>
      </c>
    </row>
    <row r="8" spans="1:11" x14ac:dyDescent="0.3">
      <c r="A8" s="3" t="s">
        <v>29</v>
      </c>
      <c r="B8">
        <v>2384.25</v>
      </c>
    </row>
    <row r="9" spans="1:11" x14ac:dyDescent="0.3">
      <c r="A9" s="3" t="s">
        <v>56</v>
      </c>
      <c r="B9">
        <v>862642.48</v>
      </c>
    </row>
    <row r="15" spans="1:11" x14ac:dyDescent="0.3">
      <c r="A15" s="1" t="s">
        <v>23</v>
      </c>
    </row>
    <row r="16" spans="1:11" s="7" customFormat="1" x14ac:dyDescent="0.3">
      <c r="A16" s="6" t="s">
        <v>24</v>
      </c>
      <c r="B16" s="5">
        <v>42460.0</v>
      </c>
      <c r="C16" s="5">
        <v>42825.0</v>
      </c>
      <c r="D16" s="5">
        <v>43190.0</v>
      </c>
      <c r="E16" s="5">
        <v>43555.0</v>
      </c>
      <c r="F16" s="5">
        <v>43921.0</v>
      </c>
      <c r="G16" s="5">
        <v>44286.0</v>
      </c>
      <c r="H16" s="5">
        <v>44651.0</v>
      </c>
      <c r="I16" s="5">
        <v>45016.0</v>
      </c>
      <c r="J16" s="5">
        <v>45382.0</v>
      </c>
      <c r="K16" s="5">
        <v>45747.0</v>
      </c>
    </row>
    <row r="17" spans="1:11" s="4" customFormat="1" x14ac:dyDescent="0.3">
      <c r="A17" s="4" t="s">
        <v>1</v>
      </c>
      <c r="B17">
        <v>108646.0</v>
      </c>
      <c r="C17">
        <v>117966.0</v>
      </c>
      <c r="D17">
        <v>123104.0</v>
      </c>
      <c r="E17">
        <v>146463.0</v>
      </c>
      <c r="F17">
        <v>156949.0</v>
      </c>
      <c r="G17">
        <v>164177.0</v>
      </c>
      <c r="H17">
        <v>191754.0</v>
      </c>
      <c r="I17">
        <v>225458.0</v>
      </c>
      <c r="J17">
        <v>240893.0</v>
      </c>
      <c r="K17">
        <v>255324.0</v>
      </c>
    </row>
    <row r="18" spans="1:11" s="4" customFormat="1" x14ac:dyDescent="0.3">
      <c r="A18" s="3" t="s">
        <v>57</v>
      </c>
      <c r="B18"/>
      <c r="C18">
        <v>94.0</v>
      </c>
      <c r="D18">
        <v>86.0</v>
      </c>
      <c r="E18">
        <v>40.0</v>
      </c>
      <c r="F18">
        <v>18.0</v>
      </c>
      <c r="G18">
        <v>14.0</v>
      </c>
      <c r="H18">
        <v>29.0</v>
      </c>
      <c r="I18">
        <v>37.0</v>
      </c>
      <c r="J18">
        <v>42.0</v>
      </c>
      <c r="K18">
        <v>49.0</v>
      </c>
    </row>
    <row r="19" spans="1:11" s="4" customFormat="1" x14ac:dyDescent="0.3">
      <c r="A19" s="3" t="s">
        <v>58</v>
      </c>
      <c r="B19"/>
      <c r="C19">
        <v>1.0</v>
      </c>
      <c r="D19"/>
      <c r="E19"/>
      <c r="F19"/>
      <c r="G19"/>
      <c r="H19"/>
      <c r="I19"/>
      <c r="J19"/>
      <c r="K19"/>
    </row>
    <row r="20" spans="1:11" s="4" customFormat="1" x14ac:dyDescent="0.3">
      <c r="A20" s="3" t="s">
        <v>59</v>
      </c>
      <c r="B20"/>
      <c r="C20"/>
      <c r="D20"/>
      <c r="E20"/>
      <c r="F20"/>
      <c r="G20"/>
      <c r="H20"/>
      <c r="I20"/>
      <c r="J20"/>
      <c r="K20"/>
    </row>
    <row r="21" spans="1:11" s="4" customFormat="1" x14ac:dyDescent="0.3">
      <c r="A21" s="3" t="s">
        <v>60</v>
      </c>
      <c r="B21">
        <v>2571.0</v>
      </c>
      <c r="C21">
        <v>2715.0</v>
      </c>
      <c r="D21">
        <v>2614.0</v>
      </c>
      <c r="E21">
        <v>2230.0</v>
      </c>
      <c r="F21">
        <v>1887.0</v>
      </c>
      <c r="G21">
        <v>1448.0</v>
      </c>
      <c r="H21">
        <v>1134.0</v>
      </c>
      <c r="I21">
        <v>1844.0</v>
      </c>
      <c r="J21">
        <v>3660.0</v>
      </c>
      <c r="K21">
        <v>11599.0</v>
      </c>
    </row>
    <row r="22" spans="1:11" s="4" customFormat="1" x14ac:dyDescent="0.3">
      <c r="A22" s="3" t="s">
        <v>61</v>
      </c>
      <c r="B22">
        <v>55348.0</v>
      </c>
      <c r="C22">
        <v>61621.0</v>
      </c>
      <c r="D22">
        <v>66396.0</v>
      </c>
      <c r="E22">
        <v>78246.0</v>
      </c>
      <c r="F22">
        <v>85952.0</v>
      </c>
      <c r="G22">
        <v>91814.0</v>
      </c>
      <c r="H22">
        <v>107554.0</v>
      </c>
      <c r="I22">
        <v>127522.0</v>
      </c>
      <c r="J22">
        <v>140131.0</v>
      </c>
      <c r="K22">
        <v>145788.0</v>
      </c>
    </row>
    <row r="23" spans="1:11" s="4" customFormat="1" x14ac:dyDescent="0.3">
      <c r="A23" s="3" t="s">
        <v>62</v>
      </c>
      <c r="B23">
        <v>15589.0</v>
      </c>
      <c r="C23">
        <v>16392.0</v>
      </c>
      <c r="D23">
        <v>16808.0</v>
      </c>
      <c r="E23">
        <v>20387.0</v>
      </c>
      <c r="F23">
        <v>20527.0</v>
      </c>
      <c r="G23">
        <v>18322.0</v>
      </c>
      <c r="H23">
        <v>23187.0</v>
      </c>
      <c r="I23">
        <v>28913.0</v>
      </c>
      <c r="J23">
        <v>24151.0</v>
      </c>
      <c r="K23">
        <v>20729.0</v>
      </c>
    </row>
    <row r="24" spans="1:11" s="4" customFormat="1" x14ac:dyDescent="0.3">
      <c r="A24" s="3" t="s">
        <v>63</v>
      </c>
      <c r="B24">
        <v>4461.0</v>
      </c>
      <c r="C24">
        <v>4834.0</v>
      </c>
      <c r="D24">
        <v>4684.0</v>
      </c>
      <c r="E24">
        <v>6054.0</v>
      </c>
      <c r="F24">
        <v>6456.0</v>
      </c>
      <c r="G24">
        <v>6033.0</v>
      </c>
      <c r="H24">
        <v>6793.0</v>
      </c>
      <c r="I24">
        <v>7883.0</v>
      </c>
      <c r="J24">
        <v>8613.0</v>
      </c>
      <c r="K24">
        <v>9752.0</v>
      </c>
    </row>
    <row r="25" spans="1:11" s="4" customFormat="1" x14ac:dyDescent="0.3">
      <c r="A25" s="4" t="s">
        <v>4</v>
      </c>
      <c r="B25">
        <v>3084.0</v>
      </c>
      <c r="C25">
        <v>4221.0</v>
      </c>
      <c r="D25">
        <v>3642.0</v>
      </c>
      <c r="E25">
        <v>4311.0</v>
      </c>
      <c r="F25">
        <v>4592.0</v>
      </c>
      <c r="G25">
        <v>1916.0</v>
      </c>
      <c r="H25">
        <v>4018.0</v>
      </c>
      <c r="I25">
        <v>3449.0</v>
      </c>
      <c r="J25">
        <v>3464.0</v>
      </c>
      <c r="K25">
        <v>3962.0</v>
      </c>
    </row>
    <row r="26" spans="1:11" s="4" customFormat="1" x14ac:dyDescent="0.3">
      <c r="A26" s="4" t="s">
        <v>5</v>
      </c>
      <c r="B26">
        <v>1888.0</v>
      </c>
      <c r="C26">
        <v>1987.0</v>
      </c>
      <c r="D26">
        <v>2014.0</v>
      </c>
      <c r="E26">
        <v>2056.0</v>
      </c>
      <c r="F26">
        <v>3529.0</v>
      </c>
      <c r="G26">
        <v>4065.0</v>
      </c>
      <c r="H26">
        <v>4604.0</v>
      </c>
      <c r="I26">
        <v>5022.0</v>
      </c>
      <c r="J26">
        <v>4985.0</v>
      </c>
      <c r="K26">
        <v>5242.0</v>
      </c>
    </row>
    <row r="27" spans="1:11" s="4" customFormat="1" x14ac:dyDescent="0.3">
      <c r="A27" s="4" t="s">
        <v>6</v>
      </c>
      <c r="B27">
        <v>33.0</v>
      </c>
      <c r="C27">
        <v>32.0</v>
      </c>
      <c r="D27">
        <v>52.0</v>
      </c>
      <c r="E27">
        <v>198.0</v>
      </c>
      <c r="F27">
        <v>924.0</v>
      </c>
      <c r="G27">
        <v>637.0</v>
      </c>
      <c r="H27">
        <v>784.0</v>
      </c>
      <c r="I27">
        <v>779.0</v>
      </c>
      <c r="J27">
        <v>778.0</v>
      </c>
      <c r="K27">
        <v>796.0</v>
      </c>
    </row>
    <row r="28" spans="1:11" s="4" customFormat="1" x14ac:dyDescent="0.3">
      <c r="A28" s="4" t="s">
        <v>7</v>
      </c>
      <c r="B28">
        <v>31840.0</v>
      </c>
      <c r="C28">
        <v>34513.0</v>
      </c>
      <c r="D28">
        <v>34092.0</v>
      </c>
      <c r="E28">
        <v>41563.0</v>
      </c>
      <c r="F28">
        <v>42248.0</v>
      </c>
      <c r="G28">
        <v>43760.0</v>
      </c>
      <c r="H28">
        <v>51687.0</v>
      </c>
      <c r="I28">
        <v>56907.0</v>
      </c>
      <c r="J28">
        <v>61997.0</v>
      </c>
      <c r="K28">
        <v>65331.0</v>
      </c>
    </row>
    <row r="29" spans="1:11" s="4" customFormat="1" x14ac:dyDescent="0.3">
      <c r="A29" s="4" t="s">
        <v>8</v>
      </c>
      <c r="B29">
        <v>7502.0</v>
      </c>
      <c r="C29">
        <v>8156.0</v>
      </c>
      <c r="D29">
        <v>8212.0</v>
      </c>
      <c r="E29">
        <v>10001.0</v>
      </c>
      <c r="F29">
        <v>9801.0</v>
      </c>
      <c r="G29">
        <v>11198.0</v>
      </c>
      <c r="H29">
        <v>13238.0</v>
      </c>
      <c r="I29">
        <v>14604.0</v>
      </c>
      <c r="J29">
        <v>15898.0</v>
      </c>
      <c r="K29">
        <v>16534.0</v>
      </c>
    </row>
    <row r="30" spans="1:11" s="4" customFormat="1" x14ac:dyDescent="0.3">
      <c r="A30" s="4" t="s">
        <v>9</v>
      </c>
      <c r="B30">
        <v>24270.0</v>
      </c>
      <c r="C30">
        <v>26289.0</v>
      </c>
      <c r="D30">
        <v>25826.0</v>
      </c>
      <c r="E30">
        <v>31472.0</v>
      </c>
      <c r="F30">
        <v>32340.0</v>
      </c>
      <c r="G30">
        <v>32430.0</v>
      </c>
      <c r="H30">
        <v>38327.0</v>
      </c>
      <c r="I30">
        <v>42147.0</v>
      </c>
      <c r="J30">
        <v>45908.0</v>
      </c>
      <c r="K30">
        <v>48553.0</v>
      </c>
    </row>
    <row r="31" spans="1:11" s="4" customFormat="1" x14ac:dyDescent="0.3">
      <c r="A31" s="4" t="s">
        <v>47</v>
      </c>
      <c r="B31">
        <v>8569.5</v>
      </c>
      <c r="C31">
        <v>9259.0</v>
      </c>
      <c r="D31">
        <v>9550.0</v>
      </c>
      <c r="E31">
        <v>11250.0</v>
      </c>
      <c r="F31">
        <v>27375.0</v>
      </c>
      <c r="G31">
        <v>14060.0</v>
      </c>
      <c r="H31">
        <v>15738.0</v>
      </c>
      <c r="I31">
        <v>42090.0</v>
      </c>
      <c r="J31">
        <v>26426.0</v>
      </c>
      <c r="K31">
        <v>45612.0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1" t="s">
        <v>25</v>
      </c>
    </row>
    <row r="41" spans="1:11" s="7" customFormat="1" x14ac:dyDescent="0.3">
      <c r="A41" s="6" t="s">
        <v>24</v>
      </c>
      <c r="B41" s="5">
        <v>45199.0</v>
      </c>
      <c r="C41" s="5">
        <v>45291.0</v>
      </c>
      <c r="D41" s="5">
        <v>45382.0</v>
      </c>
      <c r="E41" s="5">
        <v>45473.0</v>
      </c>
      <c r="F41" s="5">
        <v>45565.0</v>
      </c>
      <c r="G41" s="5">
        <v>45657.0</v>
      </c>
      <c r="H41" s="5">
        <v>45747.0</v>
      </c>
      <c r="I41" s="5">
        <v>45838.0</v>
      </c>
      <c r="J41" s="5">
        <v>45930.0</v>
      </c>
      <c r="K41" s="5">
        <v>46022.0</v>
      </c>
    </row>
    <row r="42" spans="1:11" s="4" customFormat="1" x14ac:dyDescent="0.3">
      <c r="A42" s="4" t="s">
        <v>1</v>
      </c>
      <c r="B42">
        <v>59692.0</v>
      </c>
      <c r="C42">
        <v>60583.0</v>
      </c>
      <c r="D42">
        <v>61237.0</v>
      </c>
      <c r="E42">
        <v>62613.0</v>
      </c>
      <c r="F42">
        <v>64259.0</v>
      </c>
      <c r="G42">
        <v>63973.0</v>
      </c>
      <c r="H42">
        <v>64479.0</v>
      </c>
      <c r="I42">
        <v>63437.0</v>
      </c>
      <c r="J42">
        <v>65799.0</v>
      </c>
      <c r="K42">
        <v>67087.0</v>
      </c>
    </row>
    <row r="43" spans="1:11" s="4" customFormat="1" x14ac:dyDescent="0.3">
      <c r="A43" s="4" t="s">
        <v>2</v>
      </c>
      <c r="B43">
        <v>43946.0</v>
      </c>
      <c r="C43">
        <v>44195.0</v>
      </c>
      <c r="D43">
        <v>44073.0</v>
      </c>
      <c r="E43">
        <v>45951.0</v>
      </c>
      <c r="F43">
        <v>47528.0</v>
      </c>
      <c r="G43">
        <v>46939.0</v>
      </c>
      <c r="H43">
        <v>47499.0</v>
      </c>
      <c r="I43">
        <v>46562.0</v>
      </c>
      <c r="J43">
        <v>47821.0</v>
      </c>
      <c r="K43">
        <v>48818.0</v>
      </c>
    </row>
    <row r="44" spans="1:11" s="4" customFormat="1" x14ac:dyDescent="0.3">
      <c r="A44" s="4" t="s">
        <v>4</v>
      </c>
      <c r="B44">
        <v>1006.0</v>
      </c>
      <c r="C44">
        <v>-96.0</v>
      </c>
      <c r="D44">
        <v>1157.0</v>
      </c>
      <c r="E44">
        <v>962.0</v>
      </c>
      <c r="F44">
        <v>729.0</v>
      </c>
      <c r="G44">
        <v>1243.0</v>
      </c>
      <c r="H44">
        <v>1028.0</v>
      </c>
      <c r="I44">
        <v>1660.0</v>
      </c>
      <c r="J44">
        <v>-268.0</v>
      </c>
      <c r="K44">
        <v>-2273.0</v>
      </c>
    </row>
    <row r="45" spans="1:11" s="4" customFormat="1" x14ac:dyDescent="0.3">
      <c r="A45" s="4" t="s">
        <v>5</v>
      </c>
      <c r="B45">
        <v>1263.0</v>
      </c>
      <c r="C45">
        <v>1233.0</v>
      </c>
      <c r="D45">
        <v>1246.0</v>
      </c>
      <c r="E45">
        <v>1220.0</v>
      </c>
      <c r="F45">
        <v>1266.0</v>
      </c>
      <c r="G45">
        <v>1377.0</v>
      </c>
      <c r="H45">
        <v>1379.0</v>
      </c>
      <c r="I45">
        <v>1361.0</v>
      </c>
      <c r="J45">
        <v>1413.0</v>
      </c>
      <c r="K45">
        <v>1380.0</v>
      </c>
    </row>
    <row r="46" spans="1:11" s="4" customFormat="1" x14ac:dyDescent="0.3">
      <c r="A46" s="4" t="s">
        <v>6</v>
      </c>
      <c r="B46">
        <v>159.0</v>
      </c>
      <c r="C46">
        <v>230.0</v>
      </c>
      <c r="D46">
        <v>226.0</v>
      </c>
      <c r="E46">
        <v>173.0</v>
      </c>
      <c r="F46">
        <v>162.0</v>
      </c>
      <c r="G46">
        <v>234.0</v>
      </c>
      <c r="H46">
        <v>227.0</v>
      </c>
      <c r="I46">
        <v>195.0</v>
      </c>
      <c r="J46">
        <v>229.0</v>
      </c>
      <c r="K46">
        <v>538.0</v>
      </c>
    </row>
    <row r="47" spans="1:11" s="4" customFormat="1" x14ac:dyDescent="0.3">
      <c r="A47" s="4" t="s">
        <v>7</v>
      </c>
      <c r="B47">
        <v>15330.0</v>
      </c>
      <c r="C47">
        <v>14829.0</v>
      </c>
      <c r="D47">
        <v>16849.0</v>
      </c>
      <c r="E47">
        <v>16231.0</v>
      </c>
      <c r="F47">
        <v>16032.0</v>
      </c>
      <c r="G47">
        <v>16666.0</v>
      </c>
      <c r="H47">
        <v>16402.0</v>
      </c>
      <c r="I47">
        <v>16979.0</v>
      </c>
      <c r="J47">
        <v>16068.0</v>
      </c>
      <c r="K47">
        <v>14078.0</v>
      </c>
    </row>
    <row r="48" spans="1:11" s="4" customFormat="1" x14ac:dyDescent="0.3">
      <c r="A48" s="4" t="s">
        <v>8</v>
      </c>
      <c r="B48">
        <v>3950.0</v>
      </c>
      <c r="C48">
        <v>3732.0</v>
      </c>
      <c r="D48">
        <v>4347.0</v>
      </c>
      <c r="E48">
        <v>4126.0</v>
      </c>
      <c r="F48">
        <v>4077.0</v>
      </c>
      <c r="G48">
        <v>4222.0</v>
      </c>
      <c r="H48">
        <v>4109.0</v>
      </c>
      <c r="I48">
        <v>4160.0</v>
      </c>
      <c r="J48">
        <v>3937.0</v>
      </c>
      <c r="K48">
        <v>3358.0</v>
      </c>
    </row>
    <row r="49" spans="1:11" s="4" customFormat="1" x14ac:dyDescent="0.3">
      <c r="A49" s="4" t="s">
        <v>9</v>
      </c>
      <c r="B49">
        <v>11342.0</v>
      </c>
      <c r="C49">
        <v>11058.0</v>
      </c>
      <c r="D49">
        <v>12434.0</v>
      </c>
      <c r="E49">
        <v>12040.0</v>
      </c>
      <c r="F49">
        <v>11909.0</v>
      </c>
      <c r="G49">
        <v>12380.0</v>
      </c>
      <c r="H49">
        <v>12224.0</v>
      </c>
      <c r="I49">
        <v>12760.0</v>
      </c>
      <c r="J49">
        <v>12075.0</v>
      </c>
      <c r="K49">
        <v>10657.0</v>
      </c>
    </row>
    <row r="50" spans="1:11" x14ac:dyDescent="0.3">
      <c r="A50" s="4" t="s">
        <v>3</v>
      </c>
      <c r="B50">
        <v>15746.0</v>
      </c>
      <c r="C50">
        <v>16388.0</v>
      </c>
      <c r="D50">
        <v>17164.0</v>
      </c>
      <c r="E50">
        <v>16662.0</v>
      </c>
      <c r="F50">
        <v>16731.0</v>
      </c>
      <c r="G50">
        <v>17034.0</v>
      </c>
      <c r="H50">
        <v>16980.0</v>
      </c>
      <c r="I50">
        <v>16875.0</v>
      </c>
      <c r="J50">
        <v>17978.0</v>
      </c>
      <c r="K50">
        <v>18269.0</v>
      </c>
    </row>
    <row r="51" spans="1:11" x14ac:dyDescent="0.3">
      <c r="A51" s="4"/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1" t="s">
        <v>26</v>
      </c>
    </row>
    <row r="56" spans="1:11" s="7" customFormat="1" x14ac:dyDescent="0.3">
      <c r="A56" s="6" t="s">
        <v>24</v>
      </c>
      <c r="B56" s="5">
        <v>42460.0</v>
      </c>
      <c r="C56" s="5">
        <v>42825.0</v>
      </c>
      <c r="D56" s="5">
        <v>43190.0</v>
      </c>
      <c r="E56" s="5">
        <v>43555.0</v>
      </c>
      <c r="F56" s="5">
        <v>43921.0</v>
      </c>
      <c r="G56" s="5">
        <v>44286.0</v>
      </c>
      <c r="H56" s="5">
        <v>44651.0</v>
      </c>
      <c r="I56" s="5">
        <v>45016.0</v>
      </c>
      <c r="J56" s="5">
        <v>45382.0</v>
      </c>
      <c r="K56" s="5">
        <v>45747.0</v>
      </c>
    </row>
    <row r="57" spans="1:11" x14ac:dyDescent="0.3">
      <c r="A57" s="4" t="s">
        <v>11</v>
      </c>
      <c r="B57">
        <v>197.0</v>
      </c>
      <c r="C57">
        <v>197.0</v>
      </c>
      <c r="D57">
        <v>191.0</v>
      </c>
      <c r="E57">
        <v>375.0</v>
      </c>
      <c r="F57">
        <v>375.0</v>
      </c>
      <c r="G57">
        <v>370.0</v>
      </c>
      <c r="H57">
        <v>366.0</v>
      </c>
      <c r="I57">
        <v>366.0</v>
      </c>
      <c r="J57">
        <v>362.0</v>
      </c>
      <c r="K57">
        <v>362.0</v>
      </c>
    </row>
    <row r="58" spans="1:11" x14ac:dyDescent="0.3">
      <c r="A58" s="4" t="s">
        <v>12</v>
      </c>
      <c r="B58">
        <v>70875.0</v>
      </c>
      <c r="C58">
        <v>86017.0</v>
      </c>
      <c r="D58">
        <v>84937.0</v>
      </c>
      <c r="E58">
        <v>89071.0</v>
      </c>
      <c r="F58">
        <v>83751.0</v>
      </c>
      <c r="G58">
        <v>86063.0</v>
      </c>
      <c r="H58">
        <v>88773.0</v>
      </c>
      <c r="I58">
        <v>90058.0</v>
      </c>
      <c r="J58">
        <v>90127.0</v>
      </c>
      <c r="K58">
        <v>94394.0</v>
      </c>
    </row>
    <row r="59" spans="1:11" x14ac:dyDescent="0.3">
      <c r="A59" s="4" t="s">
        <v>48</v>
      </c>
      <c r="B59">
        <v>245.0</v>
      </c>
      <c r="C59">
        <v>289.0</v>
      </c>
      <c r="D59">
        <v>247.0</v>
      </c>
      <c r="E59">
        <v>62.0</v>
      </c>
      <c r="F59">
        <v>8174.0</v>
      </c>
      <c r="G59">
        <v>7795.0</v>
      </c>
      <c r="H59">
        <v>7818.0</v>
      </c>
      <c r="I59">
        <v>7688.0</v>
      </c>
      <c r="J59">
        <v>8021.0</v>
      </c>
      <c r="K59">
        <v>9392.0</v>
      </c>
    </row>
    <row r="60" spans="1:11" x14ac:dyDescent="0.3">
      <c r="A60" s="4" t="s">
        <v>49</v>
      </c>
      <c r="B60">
        <v>16974.0</v>
      </c>
      <c r="C60">
        <v>15830.0</v>
      </c>
      <c r="D60">
        <v>19751.0</v>
      </c>
      <c r="E60">
        <v>24393.0</v>
      </c>
      <c r="F60">
        <v>27827.0</v>
      </c>
      <c r="G60">
        <v>35764.0</v>
      </c>
      <c r="H60">
        <v>43967.0</v>
      </c>
      <c r="I60">
        <v>44747.0</v>
      </c>
      <c r="J60">
        <v>46962.0</v>
      </c>
      <c r="K60">
        <v>54501.0</v>
      </c>
    </row>
    <row r="61" spans="1:11" s="1" customFormat="1" x14ac:dyDescent="0.3">
      <c r="A61" s="1" t="s">
        <v>13</v>
      </c>
      <c r="B61">
        <v>88291.0</v>
      </c>
      <c r="C61">
        <v>102333.0</v>
      </c>
      <c r="D61">
        <v>105126.0</v>
      </c>
      <c r="E61">
        <v>113901.0</v>
      </c>
      <c r="F61">
        <v>120127.0</v>
      </c>
      <c r="G61">
        <v>129992.0</v>
      </c>
      <c r="H61">
        <v>140924.0</v>
      </c>
      <c r="I61">
        <v>142859.0</v>
      </c>
      <c r="J61">
        <v>145472.0</v>
      </c>
      <c r="K61">
        <v>158649.0</v>
      </c>
    </row>
    <row r="62" spans="1:11" x14ac:dyDescent="0.3">
      <c r="A62" s="4" t="s">
        <v>14</v>
      </c>
      <c r="B62">
        <v>11774.0</v>
      </c>
      <c r="C62">
        <v>11701.0</v>
      </c>
      <c r="D62">
        <v>11973.0</v>
      </c>
      <c r="E62">
        <v>12290.0</v>
      </c>
      <c r="F62">
        <v>20928.0</v>
      </c>
      <c r="G62">
        <v>21021.0</v>
      </c>
      <c r="H62">
        <v>21298.0</v>
      </c>
      <c r="I62">
        <v>20515.0</v>
      </c>
      <c r="J62">
        <v>19604.0</v>
      </c>
      <c r="K62">
        <v>23053.0</v>
      </c>
    </row>
    <row r="63" spans="1:11" x14ac:dyDescent="0.3">
      <c r="A63" s="4" t="s">
        <v>15</v>
      </c>
      <c r="B63">
        <v>1670.0</v>
      </c>
      <c r="C63">
        <v>1541.0</v>
      </c>
      <c r="D63">
        <v>1278.0</v>
      </c>
      <c r="E63">
        <v>963.0</v>
      </c>
      <c r="F63">
        <v>906.0</v>
      </c>
      <c r="G63">
        <v>926.0</v>
      </c>
      <c r="H63">
        <v>1205.0</v>
      </c>
      <c r="I63">
        <v>1234.0</v>
      </c>
      <c r="J63">
        <v>1564.0</v>
      </c>
      <c r="K63">
        <v>1546.0</v>
      </c>
    </row>
    <row r="64" spans="1:11" x14ac:dyDescent="0.3">
      <c r="A64" s="4" t="s">
        <v>16</v>
      </c>
      <c r="B64">
        <v>22822.0</v>
      </c>
      <c r="C64">
        <v>41980.0</v>
      </c>
      <c r="D64">
        <v>36008.0</v>
      </c>
      <c r="E64">
        <v>29330.0</v>
      </c>
      <c r="F64">
        <v>26356.0</v>
      </c>
      <c r="G64">
        <v>29373.0</v>
      </c>
      <c r="H64">
        <v>30485.0</v>
      </c>
      <c r="I64">
        <v>37163.0</v>
      </c>
      <c r="J64">
        <v>31762.0</v>
      </c>
      <c r="K64">
        <v>30964.0</v>
      </c>
    </row>
    <row r="65" spans="1:11" x14ac:dyDescent="0.3">
      <c r="A65" s="4" t="s">
        <v>50</v>
      </c>
      <c r="B65">
        <v>52025.0</v>
      </c>
      <c r="C65">
        <v>47111.0</v>
      </c>
      <c r="D65">
        <v>55867.0</v>
      </c>
      <c r="E65">
        <v>71318.0</v>
      </c>
      <c r="F65">
        <v>71937.0</v>
      </c>
      <c r="G65">
        <v>78672.0</v>
      </c>
      <c r="H65">
        <v>87936.0</v>
      </c>
      <c r="I65">
        <v>83947.0</v>
      </c>
      <c r="J65">
        <v>92542.0</v>
      </c>
      <c r="K65">
        <v>103086.0</v>
      </c>
    </row>
    <row r="66" spans="1:11" s="1" customFormat="1" x14ac:dyDescent="0.3">
      <c r="A66" s="1" t="s">
        <v>13</v>
      </c>
      <c r="B66">
        <v>88291.0</v>
      </c>
      <c r="C66">
        <v>102333.0</v>
      </c>
      <c r="D66">
        <v>105126.0</v>
      </c>
      <c r="E66">
        <v>113901.0</v>
      </c>
      <c r="F66">
        <v>120127.0</v>
      </c>
      <c r="G66">
        <v>129992.0</v>
      </c>
      <c r="H66">
        <v>140924.0</v>
      </c>
      <c r="I66">
        <v>142859.0</v>
      </c>
      <c r="J66">
        <v>145472.0</v>
      </c>
      <c r="K66">
        <v>158649.0</v>
      </c>
    </row>
    <row r="67" spans="1:11" s="4" customFormat="1" x14ac:dyDescent="0.3">
      <c r="A67" s="4" t="s">
        <v>55</v>
      </c>
      <c r="B67">
        <v>24073.0</v>
      </c>
      <c r="C67">
        <v>22617.0</v>
      </c>
      <c r="D67">
        <v>24943.0</v>
      </c>
      <c r="E67">
        <v>27346.0</v>
      </c>
      <c r="F67">
        <v>30532.0</v>
      </c>
      <c r="G67">
        <v>30079.0</v>
      </c>
      <c r="H67">
        <v>41810.0</v>
      </c>
      <c r="I67">
        <v>49954.0</v>
      </c>
      <c r="J67">
        <v>53577.0</v>
      </c>
      <c r="K67">
        <v>59046.0</v>
      </c>
    </row>
    <row r="68" spans="1:11" x14ac:dyDescent="0.3">
      <c r="A68" s="4" t="s">
        <v>30</v>
      </c>
      <c r="B68">
        <v>16.0</v>
      </c>
      <c r="C68">
        <v>21.0</v>
      </c>
      <c r="D68">
        <v>26.0</v>
      </c>
      <c r="E68">
        <v>10.0</v>
      </c>
      <c r="F68">
        <v>5.0</v>
      </c>
      <c r="G68">
        <v>8.0</v>
      </c>
      <c r="H68">
        <v>20.0</v>
      </c>
      <c r="I68">
        <v>28.0</v>
      </c>
      <c r="J68">
        <v>28.0</v>
      </c>
      <c r="K68">
        <v>21.0</v>
      </c>
    </row>
    <row r="69" spans="1:11" x14ac:dyDescent="0.3">
      <c r="A69" s="3" t="s">
        <v>64</v>
      </c>
      <c r="B69">
        <v>6788.0</v>
      </c>
      <c r="C69">
        <v>4149.0</v>
      </c>
      <c r="D69">
        <v>7161.0</v>
      </c>
      <c r="E69">
        <v>12848.0</v>
      </c>
      <c r="F69">
        <v>9666.0</v>
      </c>
      <c r="G69">
        <v>9329.0</v>
      </c>
      <c r="H69">
        <v>18221.0</v>
      </c>
      <c r="I69">
        <v>11032.0</v>
      </c>
      <c r="J69">
        <v>13286.0</v>
      </c>
      <c r="K69">
        <v>15463.0</v>
      </c>
    </row>
    <row r="70" spans="1:11" x14ac:dyDescent="0.3">
      <c r="A70" s="3" t="s">
        <v>51</v>
      </c>
      <c r="B70">
        <v>1970427941.0</v>
      </c>
      <c r="C70">
        <v>1970427941.0</v>
      </c>
      <c r="D70">
        <v>1914287591.0</v>
      </c>
      <c r="E70">
        <v>3752384706.0</v>
      </c>
      <c r="F70">
        <v>3752384706.0</v>
      </c>
      <c r="G70">
        <v>3699051373.0</v>
      </c>
      <c r="H70">
        <v>3659051373.0</v>
      </c>
      <c r="I70">
        <v>3659051373.0</v>
      </c>
      <c r="J70">
        <v>3618087518.0</v>
      </c>
      <c r="K70">
        <v>3618087518.0</v>
      </c>
    </row>
    <row r="71" spans="1:11" x14ac:dyDescent="0.3">
      <c r="A71" s="3" t="s">
        <v>52</v>
      </c>
      <c r="D71"/>
      <c r="E71"/>
      <c r="H71"/>
      <c r="I71"/>
      <c r="J71"/>
      <c r="K71"/>
    </row>
    <row r="72" spans="1:11" x14ac:dyDescent="0.3">
      <c r="A72" s="3" t="s">
        <v>65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27</v>
      </c>
    </row>
    <row r="81" spans="1:11" s="7" customFormat="1" x14ac:dyDescent="0.3">
      <c r="A81" s="6" t="s">
        <v>24</v>
      </c>
      <c r="B81" s="5">
        <v>42460.0</v>
      </c>
      <c r="C81" s="5">
        <v>42825.0</v>
      </c>
      <c r="D81" s="5">
        <v>43190.0</v>
      </c>
      <c r="E81" s="5">
        <v>43555.0</v>
      </c>
      <c r="F81" s="5">
        <v>43921.0</v>
      </c>
      <c r="G81" s="5">
        <v>44286.0</v>
      </c>
      <c r="H81" s="5">
        <v>44651.0</v>
      </c>
      <c r="I81" s="5">
        <v>45016.0</v>
      </c>
      <c r="J81" s="5">
        <v>45382.0</v>
      </c>
      <c r="K81" s="5">
        <v>45747.0</v>
      </c>
    </row>
    <row r="82" spans="1:11" s="1" customFormat="1" x14ac:dyDescent="0.3">
      <c r="A82" s="4" t="s">
        <v>18</v>
      </c>
      <c r="B82">
        <v>19109.0</v>
      </c>
      <c r="C82">
        <v>25223.0</v>
      </c>
      <c r="D82">
        <v>25067.0</v>
      </c>
      <c r="E82">
        <v>28593.0</v>
      </c>
      <c r="F82">
        <v>32369.0</v>
      </c>
      <c r="G82">
        <v>38802.0</v>
      </c>
      <c r="H82">
        <v>39949.0</v>
      </c>
      <c r="I82">
        <v>41965.0</v>
      </c>
      <c r="J82">
        <v>44338.0</v>
      </c>
      <c r="K82">
        <v>48908.0</v>
      </c>
    </row>
    <row r="83" spans="1:11" s="4" customFormat="1" x14ac:dyDescent="0.3">
      <c r="A83" s="4" t="s">
        <v>19</v>
      </c>
      <c r="B83">
        <v>-5010.0</v>
      </c>
      <c r="C83">
        <v>-16895.0</v>
      </c>
      <c r="D83">
        <v>3104.0</v>
      </c>
      <c r="E83">
        <v>1645.0</v>
      </c>
      <c r="F83">
        <v>8968.0</v>
      </c>
      <c r="G83">
        <v>-7956.0</v>
      </c>
      <c r="H83">
        <v>-738.0</v>
      </c>
      <c r="I83">
        <v>548.0</v>
      </c>
      <c r="J83">
        <v>6091.0</v>
      </c>
      <c r="K83">
        <v>-2144.0</v>
      </c>
    </row>
    <row r="84" spans="1:11" s="4" customFormat="1" x14ac:dyDescent="0.3">
      <c r="A84" s="4" t="s">
        <v>20</v>
      </c>
      <c r="B84">
        <v>-9666.0</v>
      </c>
      <c r="C84">
        <v>-11026.0</v>
      </c>
      <c r="D84">
        <v>-26885.0</v>
      </c>
      <c r="E84">
        <v>-27897.0</v>
      </c>
      <c r="F84">
        <v>-39915.0</v>
      </c>
      <c r="G84">
        <v>-32634.0</v>
      </c>
      <c r="H84">
        <v>-33581.0</v>
      </c>
      <c r="I84">
        <v>-47878.0</v>
      </c>
      <c r="J84">
        <v>-48536.0</v>
      </c>
      <c r="K84">
        <v>-47438.0</v>
      </c>
    </row>
    <row r="85" spans="1:11" s="1" customFormat="1" x14ac:dyDescent="0.3">
      <c r="A85" s="4" t="s">
        <v>21</v>
      </c>
      <c r="B85">
        <v>4433.0</v>
      </c>
      <c r="C85">
        <v>-2698.0</v>
      </c>
      <c r="D85">
        <v>1286.0</v>
      </c>
      <c r="E85">
        <v>2341.0</v>
      </c>
      <c r="F85">
        <v>1422.0</v>
      </c>
      <c r="G85">
        <v>-1788.0</v>
      </c>
      <c r="H85">
        <v>5630.0</v>
      </c>
      <c r="I85">
        <v>-5365.0</v>
      </c>
      <c r="J85">
        <v>1893.0</v>
      </c>
      <c r="K85">
        <v>-674.0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1" customFormat="1" x14ac:dyDescent="0.3">
      <c r="A90" s="1" t="s">
        <v>54</v>
      </c>
      <c r="B90">
        <v>1260.15</v>
      </c>
      <c r="C90">
        <v>1215.9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3">
      <c r="A92" s="1" t="s">
        <v>53</v>
      </c>
    </row>
    <row r="93" spans="1:11" x14ac:dyDescent="0.3">
      <c r="A93" s="3" t="s">
        <v>66</v>
      </c>
      <c r="B93">
        <v>394.09</v>
      </c>
      <c r="C93">
        <v>394.09</v>
      </c>
      <c r="D93">
        <v>382.86</v>
      </c>
      <c r="E93">
        <v>375.24</v>
      </c>
      <c r="F93">
        <v>375.24</v>
      </c>
      <c r="G93">
        <v>369.91</v>
      </c>
      <c r="H93">
        <v>365.91</v>
      </c>
      <c r="I93">
        <v>365.91</v>
      </c>
      <c r="J93">
        <v>361.81</v>
      </c>
      <c r="K93" s="3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Cover</vt:lpstr>
      <vt:lpstr>Assumptions&amp;Scenario</vt:lpstr>
      <vt:lpstr>HistoricalData</vt:lpstr>
      <vt:lpstr>Model</vt:lpstr>
      <vt:lpstr>ModelBFSI</vt:lpstr>
      <vt:lpstr>Analysts&amp;Consensus</vt:lpstr>
      <vt:lpstr>Customization</vt:lpstr>
      <vt:lpstr>Data Sheet</vt:lpstr>
      <vt:lpstr>'Analysts&amp;Consensus'!Print_Area</vt:lpstr>
      <vt:lpstr>'Assumptions&amp;Scenario'!Print_Area</vt:lpstr>
      <vt:lpstr>Cover!Print_Area</vt:lpstr>
      <vt:lpstr>HistoricalData!Print_Area</vt:lpstr>
      <vt:lpstr>Model!Print_Area</vt:lpstr>
      <vt:lpstr>ModelBFSI!Print_Area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Sudhir Kulaye</cp:lastModifiedBy>
  <cp:lastPrinted>2025-11-18T07:10:24Z</cp:lastPrinted>
  <dcterms:created xsi:type="dcterms:W3CDTF">2012-08-17T09:55:37Z</dcterms:created>
  <dcterms:modified xsi:type="dcterms:W3CDTF">2026-03-20T06:04:15Z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75ccf562-0abf-44f3-88b6-e903f6f6a35e</vt:lpwstr>
  </property>
</Properties>
</file>